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i!\Documents\Data analytics\Projects\"/>
    </mc:Choice>
  </mc:AlternateContent>
  <xr:revisionPtr revIDLastSave="0" documentId="13_ncr:1_{22B29B60-DF4B-4267-8E20-6BD2160BF245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Sheet2" sheetId="2" r:id="rId1"/>
    <sheet name="Sheet3" sheetId="3" r:id="rId2"/>
    <sheet name="Sheet4" sheetId="4" r:id="rId3"/>
    <sheet name="Sheet7" sheetId="7" r:id="rId4"/>
    <sheet name="Sheet5" sheetId="5" r:id="rId5"/>
    <sheet name="Sheet1" sheetId="1" r:id="rId6"/>
    <sheet name="student dashboard" sheetId="6" r:id="rId7"/>
  </sheet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1" l="1"/>
  <c r="D56" i="1"/>
  <c r="E56" i="1"/>
  <c r="F56" i="1"/>
  <c r="B56" i="1"/>
  <c r="C55" i="1"/>
  <c r="D55" i="1"/>
  <c r="E55" i="1"/>
  <c r="F55" i="1"/>
  <c r="B55" i="1"/>
  <c r="C54" i="1"/>
  <c r="D54" i="1"/>
  <c r="E54" i="1"/>
  <c r="F54" i="1"/>
  <c r="B54" i="1"/>
  <c r="C53" i="1"/>
  <c r="D53" i="1"/>
  <c r="E53" i="1"/>
  <c r="F53" i="1"/>
  <c r="B53" i="1"/>
  <c r="C52" i="1"/>
  <c r="D52" i="1"/>
  <c r="E52" i="1"/>
  <c r="F52" i="1"/>
  <c r="B5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</calcChain>
</file>

<file path=xl/sharedStrings.xml><?xml version="1.0" encoding="utf-8"?>
<sst xmlns="http://schemas.openxmlformats.org/spreadsheetml/2006/main" count="117" uniqueCount="62">
  <si>
    <t>brian mwangi</t>
  </si>
  <si>
    <t>grace wanjiku</t>
  </si>
  <si>
    <t>john kamau</t>
  </si>
  <si>
    <t>mary njeri</t>
  </si>
  <si>
    <t>peter otieno</t>
  </si>
  <si>
    <t xml:space="preserve">faith achieng </t>
  </si>
  <si>
    <t>david kiptoo</t>
  </si>
  <si>
    <t>james kariuki</t>
  </si>
  <si>
    <t>ruth otieno</t>
  </si>
  <si>
    <t>esther wambua</t>
  </si>
  <si>
    <t>daniel mutisa</t>
  </si>
  <si>
    <t>samuel kipchoge</t>
  </si>
  <si>
    <t>sharon chebet</t>
  </si>
  <si>
    <t>vivian odhiambo</t>
  </si>
  <si>
    <t>kevin kibet</t>
  </si>
  <si>
    <t>collins musyoka</t>
  </si>
  <si>
    <t>janet muthoni</t>
  </si>
  <si>
    <t>dennis barasa</t>
  </si>
  <si>
    <t>alex kimani</t>
  </si>
  <si>
    <t>partrick muli</t>
  </si>
  <si>
    <t>caroline akoth</t>
  </si>
  <si>
    <t>emanuel kiprono</t>
  </si>
  <si>
    <t>susan wangari</t>
  </si>
  <si>
    <t xml:space="preserve">victor njoroge </t>
  </si>
  <si>
    <t>diana wambua</t>
  </si>
  <si>
    <t>nancy wanjala</t>
  </si>
  <si>
    <t>stella akinyi</t>
  </si>
  <si>
    <t>francis karanja</t>
  </si>
  <si>
    <t>lydia cherono</t>
  </si>
  <si>
    <t>beatrice wanjiru</t>
  </si>
  <si>
    <t>pamela otieno</t>
  </si>
  <si>
    <t>charles were</t>
  </si>
  <si>
    <t>edwin mutiso</t>
  </si>
  <si>
    <t>oscar kipkemoi</t>
  </si>
  <si>
    <t>caroline wanjiku</t>
  </si>
  <si>
    <t>timothy mwende</t>
  </si>
  <si>
    <t>rebecca chepgeno</t>
  </si>
  <si>
    <t>ruth  opiyo</t>
  </si>
  <si>
    <t>joseph  maina</t>
  </si>
  <si>
    <t>michal ochieng</t>
  </si>
  <si>
    <t>kevin kiptoo</t>
  </si>
  <si>
    <t>ann wairimu</t>
  </si>
  <si>
    <t>mercy jepkosgei</t>
  </si>
  <si>
    <t>Student name</t>
  </si>
  <si>
    <t>Math</t>
  </si>
  <si>
    <t>Eng</t>
  </si>
  <si>
    <t>Kisw</t>
  </si>
  <si>
    <t>Sci</t>
  </si>
  <si>
    <t>Chem</t>
  </si>
  <si>
    <t>count</t>
  </si>
  <si>
    <t>Total marks</t>
  </si>
  <si>
    <t>Average</t>
  </si>
  <si>
    <t>Max</t>
  </si>
  <si>
    <t>Min</t>
  </si>
  <si>
    <t>median</t>
  </si>
  <si>
    <t>Sum of Math</t>
  </si>
  <si>
    <t>Sum of Eng</t>
  </si>
  <si>
    <t>Sum of Kisw</t>
  </si>
  <si>
    <t>Sum of Sci</t>
  </si>
  <si>
    <t>Sum of Chem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</si>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</sst>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marks distibuted by student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D9-48E4-8322-D4DD308069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D9-48E4-8322-D4DD308069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D9-48E4-8322-D4DD308069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D9-48E4-8322-D4DD308069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3D9-48E4-8322-D4DD308069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3D9-48E4-8322-D4DD308069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3D9-48E4-8322-D4DD3080694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3D9-48E4-8322-D4DD3080694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3D9-48E4-8322-D4DD3080694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3D9-48E4-8322-D4DD3080694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3D9-48E4-8322-D4DD3080694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3D9-48E4-8322-D4DD3080694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3D9-48E4-8322-D4DD3080694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3D9-48E4-8322-D4DD3080694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3D9-48E4-8322-D4DD3080694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3D9-48E4-8322-D4DD3080694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3D9-48E4-8322-D4DD3080694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3D9-48E4-8322-D4DD3080694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3D9-48E4-8322-D4DD3080694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3D9-48E4-8322-D4DD3080694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93D9-48E4-8322-D4DD3080694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3D9-48E4-8322-D4DD3080694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93D9-48E4-8322-D4DD3080694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93D9-48E4-8322-D4DD3080694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93D9-48E4-8322-D4DD3080694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93D9-48E4-8322-D4DD3080694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93D9-48E4-8322-D4DD3080694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93D9-48E4-8322-D4DD3080694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93D9-48E4-8322-D4DD3080694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93D9-48E4-8322-D4DD3080694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93D9-48E4-8322-D4DD3080694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93D9-48E4-8322-D4DD3080694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93D9-48E4-8322-D4DD3080694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93D9-48E4-8322-D4DD3080694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93D9-48E4-8322-D4DD3080694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93D9-48E4-8322-D4DD3080694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93D9-48E4-8322-D4DD3080694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93D9-48E4-8322-D4DD3080694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93D9-48E4-8322-D4DD3080694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93D9-48E4-8322-D4DD3080694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93D9-48E4-8322-D4DD3080694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93D9-48E4-8322-D4DD3080694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93D9-48E4-8322-D4DD3080694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93D9-48E4-8322-D4DD3080694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93D9-48E4-8322-D4DD3080694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93D9-48E4-8322-D4DD3080694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93D9-48E4-8322-D4DD3080694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93D9-48E4-8322-D4DD3080694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93D9-48E4-8322-D4DD3080694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93D9-48E4-8322-D4DD3080694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93D9-48E4-8322-D4DD3080694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93D9-48E4-8322-D4DD3080694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93D9-48E4-8322-D4DD3080694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93D9-48E4-8322-D4DD3080694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93D9-48E4-8322-D4DD3080694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93D9-48E4-8322-D4DD3080694E}"/>
              </c:ext>
            </c:extLst>
          </c:dPt>
          <c:cat>
            <c:strRef>
              <c:f>Sheet1!$A$2:$A$56</c:f>
              <c:strCache>
                <c:ptCount val="55"/>
                <c:pt idx="0">
                  <c:v>brian mwangi</c:v>
                </c:pt>
                <c:pt idx="1">
                  <c:v>grace wanjiku</c:v>
                </c:pt>
                <c:pt idx="2">
                  <c:v>john kamau</c:v>
                </c:pt>
                <c:pt idx="3">
                  <c:v>mary njeri</c:v>
                </c:pt>
                <c:pt idx="4">
                  <c:v>peter otieno</c:v>
                </c:pt>
                <c:pt idx="5">
                  <c:v>faith achieng </c:v>
                </c:pt>
                <c:pt idx="6">
                  <c:v>david kiptoo</c:v>
                </c:pt>
                <c:pt idx="7">
                  <c:v>james kariuki</c:v>
                </c:pt>
                <c:pt idx="8">
                  <c:v>ruth otieno</c:v>
                </c:pt>
                <c:pt idx="9">
                  <c:v>esther wambua</c:v>
                </c:pt>
                <c:pt idx="10">
                  <c:v>daniel mutisa</c:v>
                </c:pt>
                <c:pt idx="11">
                  <c:v>samuel kipchoge</c:v>
                </c:pt>
                <c:pt idx="12">
                  <c:v>sharon chebet</c:v>
                </c:pt>
                <c:pt idx="13">
                  <c:v>vivian odhiambo</c:v>
                </c:pt>
                <c:pt idx="14">
                  <c:v>kevin kibet</c:v>
                </c:pt>
                <c:pt idx="15">
                  <c:v>collins musyoka</c:v>
                </c:pt>
                <c:pt idx="16">
                  <c:v>janet muthoni</c:v>
                </c:pt>
                <c:pt idx="17">
                  <c:v>dennis barasa</c:v>
                </c:pt>
                <c:pt idx="18">
                  <c:v>alex kimani</c:v>
                </c:pt>
                <c:pt idx="19">
                  <c:v>partrick muli</c:v>
                </c:pt>
                <c:pt idx="20">
                  <c:v>caroline akoth</c:v>
                </c:pt>
                <c:pt idx="21">
                  <c:v>emanuel kiprono</c:v>
                </c:pt>
                <c:pt idx="22">
                  <c:v>susan wangari</c:v>
                </c:pt>
                <c:pt idx="23">
                  <c:v>victor njoroge </c:v>
                </c:pt>
                <c:pt idx="24">
                  <c:v>diana wambua</c:v>
                </c:pt>
                <c:pt idx="25">
                  <c:v>nancy wanjala</c:v>
                </c:pt>
                <c:pt idx="26">
                  <c:v>stella akinyi</c:v>
                </c:pt>
                <c:pt idx="27">
                  <c:v>francis karanja</c:v>
                </c:pt>
                <c:pt idx="28">
                  <c:v>lydia cherono</c:v>
                </c:pt>
                <c:pt idx="29">
                  <c:v>beatrice wanjiru</c:v>
                </c:pt>
                <c:pt idx="30">
                  <c:v>pamela otieno</c:v>
                </c:pt>
                <c:pt idx="31">
                  <c:v>charles were</c:v>
                </c:pt>
                <c:pt idx="32">
                  <c:v>edwin mutiso</c:v>
                </c:pt>
                <c:pt idx="33">
                  <c:v>oscar kipkemoi</c:v>
                </c:pt>
                <c:pt idx="34">
                  <c:v>caroline wanjiku</c:v>
                </c:pt>
                <c:pt idx="35">
                  <c:v>timothy mwende</c:v>
                </c:pt>
                <c:pt idx="36">
                  <c:v>rebecca chepgeno</c:v>
                </c:pt>
                <c:pt idx="37">
                  <c:v>brian mwangi</c:v>
                </c:pt>
                <c:pt idx="38">
                  <c:v>grace wanjiku</c:v>
                </c:pt>
                <c:pt idx="39">
                  <c:v>david kiptoo</c:v>
                </c:pt>
                <c:pt idx="40">
                  <c:v>james kariuki</c:v>
                </c:pt>
                <c:pt idx="41">
                  <c:v>ruth  opiyo</c:v>
                </c:pt>
                <c:pt idx="42">
                  <c:v>joseph  maina</c:v>
                </c:pt>
                <c:pt idx="43">
                  <c:v>faith achieng </c:v>
                </c:pt>
                <c:pt idx="44">
                  <c:v>michal ochieng</c:v>
                </c:pt>
                <c:pt idx="45">
                  <c:v>vivian odhiambo</c:v>
                </c:pt>
                <c:pt idx="46">
                  <c:v>kevin kiptoo</c:v>
                </c:pt>
                <c:pt idx="47">
                  <c:v>ann wairimu</c:v>
                </c:pt>
                <c:pt idx="48">
                  <c:v>mercy jepkosgei</c:v>
                </c:pt>
                <c:pt idx="49">
                  <c:v>mary njeri</c:v>
                </c:pt>
                <c:pt idx="50">
                  <c:v>Average</c:v>
                </c:pt>
                <c:pt idx="51">
                  <c:v>Max</c:v>
                </c:pt>
                <c:pt idx="52">
                  <c:v>Min</c:v>
                </c:pt>
                <c:pt idx="53">
                  <c:v>count</c:v>
                </c:pt>
                <c:pt idx="54">
                  <c:v>median</c:v>
                </c:pt>
              </c:strCache>
            </c:strRef>
          </c:cat>
          <c:val>
            <c:numRef>
              <c:f>Sheet1!$B$2:$B$56</c:f>
              <c:numCache>
                <c:formatCode>General</c:formatCode>
                <c:ptCount val="55"/>
                <c:pt idx="0">
                  <c:v>56</c:v>
                </c:pt>
                <c:pt idx="1">
                  <c:v>76</c:v>
                </c:pt>
                <c:pt idx="2">
                  <c:v>78</c:v>
                </c:pt>
                <c:pt idx="3">
                  <c:v>67</c:v>
                </c:pt>
                <c:pt idx="4">
                  <c:v>89</c:v>
                </c:pt>
                <c:pt idx="5">
                  <c:v>98</c:v>
                </c:pt>
                <c:pt idx="6">
                  <c:v>98</c:v>
                </c:pt>
                <c:pt idx="7">
                  <c:v>76</c:v>
                </c:pt>
                <c:pt idx="8">
                  <c:v>56</c:v>
                </c:pt>
                <c:pt idx="9">
                  <c:v>45</c:v>
                </c:pt>
                <c:pt idx="10">
                  <c:v>67</c:v>
                </c:pt>
                <c:pt idx="11">
                  <c:v>34</c:v>
                </c:pt>
                <c:pt idx="12">
                  <c:v>56</c:v>
                </c:pt>
                <c:pt idx="13">
                  <c:v>76</c:v>
                </c:pt>
                <c:pt idx="14">
                  <c:v>56</c:v>
                </c:pt>
                <c:pt idx="15">
                  <c:v>78</c:v>
                </c:pt>
                <c:pt idx="16">
                  <c:v>44</c:v>
                </c:pt>
                <c:pt idx="17">
                  <c:v>23</c:v>
                </c:pt>
                <c:pt idx="18">
                  <c:v>45</c:v>
                </c:pt>
                <c:pt idx="19">
                  <c:v>67</c:v>
                </c:pt>
                <c:pt idx="20">
                  <c:v>76</c:v>
                </c:pt>
                <c:pt idx="21">
                  <c:v>87</c:v>
                </c:pt>
                <c:pt idx="22">
                  <c:v>86</c:v>
                </c:pt>
                <c:pt idx="23">
                  <c:v>88</c:v>
                </c:pt>
                <c:pt idx="24">
                  <c:v>67</c:v>
                </c:pt>
                <c:pt idx="25">
                  <c:v>67</c:v>
                </c:pt>
                <c:pt idx="26">
                  <c:v>88</c:v>
                </c:pt>
                <c:pt idx="27">
                  <c:v>45</c:v>
                </c:pt>
                <c:pt idx="28">
                  <c:v>87</c:v>
                </c:pt>
                <c:pt idx="29">
                  <c:v>67</c:v>
                </c:pt>
                <c:pt idx="30">
                  <c:v>98</c:v>
                </c:pt>
                <c:pt idx="31">
                  <c:v>88</c:v>
                </c:pt>
                <c:pt idx="32">
                  <c:v>77</c:v>
                </c:pt>
                <c:pt idx="33">
                  <c:v>89</c:v>
                </c:pt>
                <c:pt idx="34">
                  <c:v>90</c:v>
                </c:pt>
                <c:pt idx="35">
                  <c:v>87</c:v>
                </c:pt>
                <c:pt idx="36">
                  <c:v>65</c:v>
                </c:pt>
                <c:pt idx="37">
                  <c:v>56</c:v>
                </c:pt>
                <c:pt idx="38">
                  <c:v>55</c:v>
                </c:pt>
                <c:pt idx="39">
                  <c:v>55</c:v>
                </c:pt>
                <c:pt idx="40">
                  <c:v>43</c:v>
                </c:pt>
                <c:pt idx="41">
                  <c:v>45</c:v>
                </c:pt>
                <c:pt idx="42">
                  <c:v>64</c:v>
                </c:pt>
                <c:pt idx="43">
                  <c:v>72</c:v>
                </c:pt>
                <c:pt idx="44">
                  <c:v>73</c:v>
                </c:pt>
                <c:pt idx="45">
                  <c:v>82</c:v>
                </c:pt>
                <c:pt idx="46">
                  <c:v>90</c:v>
                </c:pt>
                <c:pt idx="47">
                  <c:v>67</c:v>
                </c:pt>
                <c:pt idx="48">
                  <c:v>89</c:v>
                </c:pt>
                <c:pt idx="49">
                  <c:v>88</c:v>
                </c:pt>
                <c:pt idx="50">
                  <c:v>70.319999999999993</c:v>
                </c:pt>
                <c:pt idx="51">
                  <c:v>98</c:v>
                </c:pt>
                <c:pt idx="52">
                  <c:v>23</c:v>
                </c:pt>
                <c:pt idx="53">
                  <c:v>50</c:v>
                </c:pt>
                <c:pt idx="54">
                  <c:v>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3-48C4-B1F0-7897F54A5E6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93D9-48E4-8322-D4DD308069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93D9-48E4-8322-D4DD308069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93D9-48E4-8322-D4DD308069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93D9-48E4-8322-D4DD308069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93D9-48E4-8322-D4DD308069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93D9-48E4-8322-D4DD308069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93D9-48E4-8322-D4DD3080694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93D9-48E4-8322-D4DD3080694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93D9-48E4-8322-D4DD3080694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93D9-48E4-8322-D4DD3080694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93D9-48E4-8322-D4DD3080694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93D9-48E4-8322-D4DD3080694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93D9-48E4-8322-D4DD3080694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93D9-48E4-8322-D4DD3080694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93D9-48E4-8322-D4DD3080694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93D9-48E4-8322-D4DD3080694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93D9-48E4-8322-D4DD3080694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93D9-48E4-8322-D4DD3080694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93D9-48E4-8322-D4DD3080694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93D9-48E4-8322-D4DD3080694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93D9-48E4-8322-D4DD3080694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93D9-48E4-8322-D4DD3080694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93D9-48E4-8322-D4DD3080694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93D9-48E4-8322-D4DD3080694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93D9-48E4-8322-D4DD3080694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93D9-48E4-8322-D4DD3080694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93D9-48E4-8322-D4DD3080694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93D9-48E4-8322-D4DD3080694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93D9-48E4-8322-D4DD3080694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93D9-48E4-8322-D4DD3080694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93D9-48E4-8322-D4DD3080694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93D9-48E4-8322-D4DD3080694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93D9-48E4-8322-D4DD3080694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93D9-48E4-8322-D4DD3080694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93D9-48E4-8322-D4DD3080694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93D9-48E4-8322-D4DD3080694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93D9-48E4-8322-D4DD3080694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93D9-48E4-8322-D4DD3080694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93D9-48E4-8322-D4DD3080694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93D9-48E4-8322-D4DD3080694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93D9-48E4-8322-D4DD3080694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93D9-48E4-8322-D4DD3080694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93D9-48E4-8322-D4DD3080694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93D9-48E4-8322-D4DD3080694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93D9-48E4-8322-D4DD3080694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93D9-48E4-8322-D4DD3080694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93D9-48E4-8322-D4DD3080694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93D9-48E4-8322-D4DD3080694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93D9-48E4-8322-D4DD3080694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93D9-48E4-8322-D4DD3080694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93D9-48E4-8322-D4DD3080694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93D9-48E4-8322-D4DD3080694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93D9-48E4-8322-D4DD3080694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93D9-48E4-8322-D4DD3080694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93D9-48E4-8322-D4DD3080694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93D9-48E4-8322-D4DD3080694E}"/>
              </c:ext>
            </c:extLst>
          </c:dPt>
          <c:cat>
            <c:strRef>
              <c:f>Sheet1!$A$2:$A$56</c:f>
              <c:strCache>
                <c:ptCount val="55"/>
                <c:pt idx="0">
                  <c:v>brian mwangi</c:v>
                </c:pt>
                <c:pt idx="1">
                  <c:v>grace wanjiku</c:v>
                </c:pt>
                <c:pt idx="2">
                  <c:v>john kamau</c:v>
                </c:pt>
                <c:pt idx="3">
                  <c:v>mary njeri</c:v>
                </c:pt>
                <c:pt idx="4">
                  <c:v>peter otieno</c:v>
                </c:pt>
                <c:pt idx="5">
                  <c:v>faith achieng </c:v>
                </c:pt>
                <c:pt idx="6">
                  <c:v>david kiptoo</c:v>
                </c:pt>
                <c:pt idx="7">
                  <c:v>james kariuki</c:v>
                </c:pt>
                <c:pt idx="8">
                  <c:v>ruth otieno</c:v>
                </c:pt>
                <c:pt idx="9">
                  <c:v>esther wambua</c:v>
                </c:pt>
                <c:pt idx="10">
                  <c:v>daniel mutisa</c:v>
                </c:pt>
                <c:pt idx="11">
                  <c:v>samuel kipchoge</c:v>
                </c:pt>
                <c:pt idx="12">
                  <c:v>sharon chebet</c:v>
                </c:pt>
                <c:pt idx="13">
                  <c:v>vivian odhiambo</c:v>
                </c:pt>
                <c:pt idx="14">
                  <c:v>kevin kibet</c:v>
                </c:pt>
                <c:pt idx="15">
                  <c:v>collins musyoka</c:v>
                </c:pt>
                <c:pt idx="16">
                  <c:v>janet muthoni</c:v>
                </c:pt>
                <c:pt idx="17">
                  <c:v>dennis barasa</c:v>
                </c:pt>
                <c:pt idx="18">
                  <c:v>alex kimani</c:v>
                </c:pt>
                <c:pt idx="19">
                  <c:v>partrick muli</c:v>
                </c:pt>
                <c:pt idx="20">
                  <c:v>caroline akoth</c:v>
                </c:pt>
                <c:pt idx="21">
                  <c:v>emanuel kiprono</c:v>
                </c:pt>
                <c:pt idx="22">
                  <c:v>susan wangari</c:v>
                </c:pt>
                <c:pt idx="23">
                  <c:v>victor njoroge </c:v>
                </c:pt>
                <c:pt idx="24">
                  <c:v>diana wambua</c:v>
                </c:pt>
                <c:pt idx="25">
                  <c:v>nancy wanjala</c:v>
                </c:pt>
                <c:pt idx="26">
                  <c:v>stella akinyi</c:v>
                </c:pt>
                <c:pt idx="27">
                  <c:v>francis karanja</c:v>
                </c:pt>
                <c:pt idx="28">
                  <c:v>lydia cherono</c:v>
                </c:pt>
                <c:pt idx="29">
                  <c:v>beatrice wanjiru</c:v>
                </c:pt>
                <c:pt idx="30">
                  <c:v>pamela otieno</c:v>
                </c:pt>
                <c:pt idx="31">
                  <c:v>charles were</c:v>
                </c:pt>
                <c:pt idx="32">
                  <c:v>edwin mutiso</c:v>
                </c:pt>
                <c:pt idx="33">
                  <c:v>oscar kipkemoi</c:v>
                </c:pt>
                <c:pt idx="34">
                  <c:v>caroline wanjiku</c:v>
                </c:pt>
                <c:pt idx="35">
                  <c:v>timothy mwende</c:v>
                </c:pt>
                <c:pt idx="36">
                  <c:v>rebecca chepgeno</c:v>
                </c:pt>
                <c:pt idx="37">
                  <c:v>brian mwangi</c:v>
                </c:pt>
                <c:pt idx="38">
                  <c:v>grace wanjiku</c:v>
                </c:pt>
                <c:pt idx="39">
                  <c:v>david kiptoo</c:v>
                </c:pt>
                <c:pt idx="40">
                  <c:v>james kariuki</c:v>
                </c:pt>
                <c:pt idx="41">
                  <c:v>ruth  opiyo</c:v>
                </c:pt>
                <c:pt idx="42">
                  <c:v>joseph  maina</c:v>
                </c:pt>
                <c:pt idx="43">
                  <c:v>faith achieng </c:v>
                </c:pt>
                <c:pt idx="44">
                  <c:v>michal ochieng</c:v>
                </c:pt>
                <c:pt idx="45">
                  <c:v>vivian odhiambo</c:v>
                </c:pt>
                <c:pt idx="46">
                  <c:v>kevin kiptoo</c:v>
                </c:pt>
                <c:pt idx="47">
                  <c:v>ann wairimu</c:v>
                </c:pt>
                <c:pt idx="48">
                  <c:v>mercy jepkosgei</c:v>
                </c:pt>
                <c:pt idx="49">
                  <c:v>mary njeri</c:v>
                </c:pt>
                <c:pt idx="50">
                  <c:v>Average</c:v>
                </c:pt>
                <c:pt idx="51">
                  <c:v>Max</c:v>
                </c:pt>
                <c:pt idx="52">
                  <c:v>Min</c:v>
                </c:pt>
                <c:pt idx="53">
                  <c:v>count</c:v>
                </c:pt>
                <c:pt idx="54">
                  <c:v>median</c:v>
                </c:pt>
              </c:strCache>
            </c:strRef>
          </c:cat>
          <c:val>
            <c:numRef>
              <c:f>Sheet1!$C$2:$C$56</c:f>
              <c:numCache>
                <c:formatCode>General</c:formatCode>
                <c:ptCount val="55"/>
                <c:pt idx="0">
                  <c:v>86</c:v>
                </c:pt>
                <c:pt idx="1">
                  <c:v>76</c:v>
                </c:pt>
                <c:pt idx="2">
                  <c:v>87</c:v>
                </c:pt>
                <c:pt idx="3">
                  <c:v>86</c:v>
                </c:pt>
                <c:pt idx="4">
                  <c:v>86</c:v>
                </c:pt>
                <c:pt idx="5">
                  <c:v>34</c:v>
                </c:pt>
                <c:pt idx="6">
                  <c:v>56</c:v>
                </c:pt>
                <c:pt idx="7">
                  <c:v>65</c:v>
                </c:pt>
                <c:pt idx="8">
                  <c:v>64</c:v>
                </c:pt>
                <c:pt idx="9">
                  <c:v>64</c:v>
                </c:pt>
                <c:pt idx="10">
                  <c:v>54</c:v>
                </c:pt>
                <c:pt idx="11">
                  <c:v>54</c:v>
                </c:pt>
                <c:pt idx="12">
                  <c:v>55</c:v>
                </c:pt>
                <c:pt idx="13">
                  <c:v>33</c:v>
                </c:pt>
                <c:pt idx="14">
                  <c:v>44</c:v>
                </c:pt>
                <c:pt idx="15">
                  <c:v>55</c:v>
                </c:pt>
                <c:pt idx="16">
                  <c:v>66</c:v>
                </c:pt>
                <c:pt idx="17">
                  <c:v>77</c:v>
                </c:pt>
                <c:pt idx="18">
                  <c:v>88</c:v>
                </c:pt>
                <c:pt idx="19">
                  <c:v>99</c:v>
                </c:pt>
                <c:pt idx="20">
                  <c:v>90</c:v>
                </c:pt>
                <c:pt idx="21">
                  <c:v>57</c:v>
                </c:pt>
                <c:pt idx="22">
                  <c:v>45</c:v>
                </c:pt>
                <c:pt idx="23">
                  <c:v>34</c:v>
                </c:pt>
                <c:pt idx="24">
                  <c:v>56</c:v>
                </c:pt>
                <c:pt idx="25">
                  <c:v>76</c:v>
                </c:pt>
                <c:pt idx="26">
                  <c:v>87</c:v>
                </c:pt>
                <c:pt idx="27">
                  <c:v>54</c:v>
                </c:pt>
                <c:pt idx="28">
                  <c:v>45</c:v>
                </c:pt>
                <c:pt idx="29">
                  <c:v>33</c:v>
                </c:pt>
                <c:pt idx="30">
                  <c:v>44</c:v>
                </c:pt>
                <c:pt idx="31">
                  <c:v>55</c:v>
                </c:pt>
                <c:pt idx="32">
                  <c:v>66</c:v>
                </c:pt>
                <c:pt idx="33">
                  <c:v>77</c:v>
                </c:pt>
                <c:pt idx="34">
                  <c:v>55</c:v>
                </c:pt>
                <c:pt idx="35">
                  <c:v>66</c:v>
                </c:pt>
                <c:pt idx="36">
                  <c:v>55</c:v>
                </c:pt>
                <c:pt idx="37">
                  <c:v>66</c:v>
                </c:pt>
                <c:pt idx="38">
                  <c:v>77</c:v>
                </c:pt>
                <c:pt idx="39">
                  <c:v>33</c:v>
                </c:pt>
                <c:pt idx="40">
                  <c:v>44</c:v>
                </c:pt>
                <c:pt idx="41">
                  <c:v>55</c:v>
                </c:pt>
                <c:pt idx="42">
                  <c:v>66</c:v>
                </c:pt>
                <c:pt idx="43">
                  <c:v>77</c:v>
                </c:pt>
                <c:pt idx="44">
                  <c:v>88</c:v>
                </c:pt>
                <c:pt idx="45">
                  <c:v>90</c:v>
                </c:pt>
                <c:pt idx="46">
                  <c:v>55</c:v>
                </c:pt>
                <c:pt idx="47">
                  <c:v>66</c:v>
                </c:pt>
                <c:pt idx="48">
                  <c:v>77</c:v>
                </c:pt>
                <c:pt idx="49">
                  <c:v>88</c:v>
                </c:pt>
                <c:pt idx="50">
                  <c:v>64.12</c:v>
                </c:pt>
                <c:pt idx="51">
                  <c:v>99</c:v>
                </c:pt>
                <c:pt idx="52">
                  <c:v>33</c:v>
                </c:pt>
                <c:pt idx="53">
                  <c:v>50</c:v>
                </c:pt>
                <c:pt idx="54">
                  <c:v>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33-48C4-B1F0-7897F54A5E6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Kisw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93D9-48E4-8322-D4DD308069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93D9-48E4-8322-D4DD308069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93D9-48E4-8322-D4DD308069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93D9-48E4-8322-D4DD308069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93D9-48E4-8322-D4DD308069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93D9-48E4-8322-D4DD308069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93D9-48E4-8322-D4DD3080694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93D9-48E4-8322-D4DD3080694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93D9-48E4-8322-D4DD3080694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93D9-48E4-8322-D4DD3080694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93D9-48E4-8322-D4DD3080694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93D9-48E4-8322-D4DD3080694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93D9-48E4-8322-D4DD3080694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93D9-48E4-8322-D4DD3080694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93D9-48E4-8322-D4DD3080694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93D9-48E4-8322-D4DD3080694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93D9-48E4-8322-D4DD3080694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93D9-48E4-8322-D4DD3080694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93D9-48E4-8322-D4DD3080694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93D9-48E4-8322-D4DD3080694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93D9-48E4-8322-D4DD3080694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93D9-48E4-8322-D4DD3080694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93D9-48E4-8322-D4DD3080694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93D9-48E4-8322-D4DD3080694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93D9-48E4-8322-D4DD3080694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93D9-48E4-8322-D4DD3080694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93D9-48E4-8322-D4DD3080694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93D9-48E4-8322-D4DD3080694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93D9-48E4-8322-D4DD3080694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93D9-48E4-8322-D4DD3080694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93D9-48E4-8322-D4DD3080694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93D9-48E4-8322-D4DD3080694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93D9-48E4-8322-D4DD3080694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93D9-48E4-8322-D4DD3080694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93D9-48E4-8322-D4DD3080694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93D9-48E4-8322-D4DD3080694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93D9-48E4-8322-D4DD3080694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93D9-48E4-8322-D4DD3080694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93D9-48E4-8322-D4DD3080694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93D9-48E4-8322-D4DD3080694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93D9-48E4-8322-D4DD3080694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93D9-48E4-8322-D4DD3080694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93D9-48E4-8322-D4DD3080694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93D9-48E4-8322-D4DD3080694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93D9-48E4-8322-D4DD3080694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93D9-48E4-8322-D4DD3080694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93D9-48E4-8322-D4DD3080694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93D9-48E4-8322-D4DD3080694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93D9-48E4-8322-D4DD3080694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93D9-48E4-8322-D4DD3080694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93D9-48E4-8322-D4DD3080694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93D9-48E4-8322-D4DD3080694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93D9-48E4-8322-D4DD3080694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93D9-48E4-8322-D4DD3080694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93D9-48E4-8322-D4DD3080694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93D9-48E4-8322-D4DD3080694E}"/>
              </c:ext>
            </c:extLst>
          </c:dPt>
          <c:cat>
            <c:strRef>
              <c:f>Sheet1!$A$2:$A$56</c:f>
              <c:strCache>
                <c:ptCount val="55"/>
                <c:pt idx="0">
                  <c:v>brian mwangi</c:v>
                </c:pt>
                <c:pt idx="1">
                  <c:v>grace wanjiku</c:v>
                </c:pt>
                <c:pt idx="2">
                  <c:v>john kamau</c:v>
                </c:pt>
                <c:pt idx="3">
                  <c:v>mary njeri</c:v>
                </c:pt>
                <c:pt idx="4">
                  <c:v>peter otieno</c:v>
                </c:pt>
                <c:pt idx="5">
                  <c:v>faith achieng </c:v>
                </c:pt>
                <c:pt idx="6">
                  <c:v>david kiptoo</c:v>
                </c:pt>
                <c:pt idx="7">
                  <c:v>james kariuki</c:v>
                </c:pt>
                <c:pt idx="8">
                  <c:v>ruth otieno</c:v>
                </c:pt>
                <c:pt idx="9">
                  <c:v>esther wambua</c:v>
                </c:pt>
                <c:pt idx="10">
                  <c:v>daniel mutisa</c:v>
                </c:pt>
                <c:pt idx="11">
                  <c:v>samuel kipchoge</c:v>
                </c:pt>
                <c:pt idx="12">
                  <c:v>sharon chebet</c:v>
                </c:pt>
                <c:pt idx="13">
                  <c:v>vivian odhiambo</c:v>
                </c:pt>
                <c:pt idx="14">
                  <c:v>kevin kibet</c:v>
                </c:pt>
                <c:pt idx="15">
                  <c:v>collins musyoka</c:v>
                </c:pt>
                <c:pt idx="16">
                  <c:v>janet muthoni</c:v>
                </c:pt>
                <c:pt idx="17">
                  <c:v>dennis barasa</c:v>
                </c:pt>
                <c:pt idx="18">
                  <c:v>alex kimani</c:v>
                </c:pt>
                <c:pt idx="19">
                  <c:v>partrick muli</c:v>
                </c:pt>
                <c:pt idx="20">
                  <c:v>caroline akoth</c:v>
                </c:pt>
                <c:pt idx="21">
                  <c:v>emanuel kiprono</c:v>
                </c:pt>
                <c:pt idx="22">
                  <c:v>susan wangari</c:v>
                </c:pt>
                <c:pt idx="23">
                  <c:v>victor njoroge </c:v>
                </c:pt>
                <c:pt idx="24">
                  <c:v>diana wambua</c:v>
                </c:pt>
                <c:pt idx="25">
                  <c:v>nancy wanjala</c:v>
                </c:pt>
                <c:pt idx="26">
                  <c:v>stella akinyi</c:v>
                </c:pt>
                <c:pt idx="27">
                  <c:v>francis karanja</c:v>
                </c:pt>
                <c:pt idx="28">
                  <c:v>lydia cherono</c:v>
                </c:pt>
                <c:pt idx="29">
                  <c:v>beatrice wanjiru</c:v>
                </c:pt>
                <c:pt idx="30">
                  <c:v>pamela otieno</c:v>
                </c:pt>
                <c:pt idx="31">
                  <c:v>charles were</c:v>
                </c:pt>
                <c:pt idx="32">
                  <c:v>edwin mutiso</c:v>
                </c:pt>
                <c:pt idx="33">
                  <c:v>oscar kipkemoi</c:v>
                </c:pt>
                <c:pt idx="34">
                  <c:v>caroline wanjiku</c:v>
                </c:pt>
                <c:pt idx="35">
                  <c:v>timothy mwende</c:v>
                </c:pt>
                <c:pt idx="36">
                  <c:v>rebecca chepgeno</c:v>
                </c:pt>
                <c:pt idx="37">
                  <c:v>brian mwangi</c:v>
                </c:pt>
                <c:pt idx="38">
                  <c:v>grace wanjiku</c:v>
                </c:pt>
                <c:pt idx="39">
                  <c:v>david kiptoo</c:v>
                </c:pt>
                <c:pt idx="40">
                  <c:v>james kariuki</c:v>
                </c:pt>
                <c:pt idx="41">
                  <c:v>ruth  opiyo</c:v>
                </c:pt>
                <c:pt idx="42">
                  <c:v>joseph  maina</c:v>
                </c:pt>
                <c:pt idx="43">
                  <c:v>faith achieng </c:v>
                </c:pt>
                <c:pt idx="44">
                  <c:v>michal ochieng</c:v>
                </c:pt>
                <c:pt idx="45">
                  <c:v>vivian odhiambo</c:v>
                </c:pt>
                <c:pt idx="46">
                  <c:v>kevin kiptoo</c:v>
                </c:pt>
                <c:pt idx="47">
                  <c:v>ann wairimu</c:v>
                </c:pt>
                <c:pt idx="48">
                  <c:v>mercy jepkosgei</c:v>
                </c:pt>
                <c:pt idx="49">
                  <c:v>mary njeri</c:v>
                </c:pt>
                <c:pt idx="50">
                  <c:v>Average</c:v>
                </c:pt>
                <c:pt idx="51">
                  <c:v>Max</c:v>
                </c:pt>
                <c:pt idx="52">
                  <c:v>Min</c:v>
                </c:pt>
                <c:pt idx="53">
                  <c:v>count</c:v>
                </c:pt>
                <c:pt idx="54">
                  <c:v>median</c:v>
                </c:pt>
              </c:strCache>
            </c:strRef>
          </c:cat>
          <c:val>
            <c:numRef>
              <c:f>Sheet1!$D$2:$D$56</c:f>
              <c:numCache>
                <c:formatCode>General</c:formatCode>
                <c:ptCount val="55"/>
                <c:pt idx="0">
                  <c:v>76</c:v>
                </c:pt>
                <c:pt idx="1">
                  <c:v>69</c:v>
                </c:pt>
                <c:pt idx="2">
                  <c:v>65</c:v>
                </c:pt>
                <c:pt idx="3">
                  <c:v>67</c:v>
                </c:pt>
                <c:pt idx="4">
                  <c:v>90</c:v>
                </c:pt>
                <c:pt idx="5">
                  <c:v>56</c:v>
                </c:pt>
                <c:pt idx="6">
                  <c:v>78</c:v>
                </c:pt>
                <c:pt idx="7">
                  <c:v>98</c:v>
                </c:pt>
                <c:pt idx="8">
                  <c:v>76</c:v>
                </c:pt>
                <c:pt idx="9">
                  <c:v>66</c:v>
                </c:pt>
                <c:pt idx="10">
                  <c:v>55</c:v>
                </c:pt>
                <c:pt idx="11">
                  <c:v>44</c:v>
                </c:pt>
                <c:pt idx="12">
                  <c:v>55</c:v>
                </c:pt>
                <c:pt idx="13">
                  <c:v>33</c:v>
                </c:pt>
                <c:pt idx="14">
                  <c:v>44</c:v>
                </c:pt>
                <c:pt idx="15">
                  <c:v>22</c:v>
                </c:pt>
                <c:pt idx="16">
                  <c:v>33</c:v>
                </c:pt>
                <c:pt idx="17">
                  <c:v>44</c:v>
                </c:pt>
                <c:pt idx="18">
                  <c:v>55</c:v>
                </c:pt>
                <c:pt idx="19">
                  <c:v>66</c:v>
                </c:pt>
                <c:pt idx="20">
                  <c:v>77</c:v>
                </c:pt>
                <c:pt idx="21">
                  <c:v>88</c:v>
                </c:pt>
                <c:pt idx="22">
                  <c:v>99</c:v>
                </c:pt>
                <c:pt idx="23">
                  <c:v>88</c:v>
                </c:pt>
                <c:pt idx="24">
                  <c:v>77</c:v>
                </c:pt>
                <c:pt idx="25">
                  <c:v>88</c:v>
                </c:pt>
                <c:pt idx="26">
                  <c:v>66</c:v>
                </c:pt>
                <c:pt idx="27">
                  <c:v>67</c:v>
                </c:pt>
                <c:pt idx="28">
                  <c:v>77</c:v>
                </c:pt>
                <c:pt idx="29">
                  <c:v>88</c:v>
                </c:pt>
                <c:pt idx="30">
                  <c:v>99</c:v>
                </c:pt>
                <c:pt idx="31">
                  <c:v>33</c:v>
                </c:pt>
                <c:pt idx="32">
                  <c:v>44</c:v>
                </c:pt>
                <c:pt idx="33">
                  <c:v>55</c:v>
                </c:pt>
                <c:pt idx="34">
                  <c:v>66</c:v>
                </c:pt>
                <c:pt idx="35">
                  <c:v>77</c:v>
                </c:pt>
                <c:pt idx="36">
                  <c:v>66</c:v>
                </c:pt>
                <c:pt idx="37">
                  <c:v>88</c:v>
                </c:pt>
                <c:pt idx="38">
                  <c:v>99</c:v>
                </c:pt>
                <c:pt idx="39">
                  <c:v>99</c:v>
                </c:pt>
                <c:pt idx="40">
                  <c:v>77</c:v>
                </c:pt>
                <c:pt idx="41">
                  <c:v>66</c:v>
                </c:pt>
                <c:pt idx="42">
                  <c:v>77</c:v>
                </c:pt>
                <c:pt idx="43">
                  <c:v>88</c:v>
                </c:pt>
                <c:pt idx="44">
                  <c:v>66</c:v>
                </c:pt>
                <c:pt idx="45">
                  <c:v>77</c:v>
                </c:pt>
                <c:pt idx="46">
                  <c:v>88</c:v>
                </c:pt>
                <c:pt idx="47">
                  <c:v>80</c:v>
                </c:pt>
                <c:pt idx="48">
                  <c:v>86</c:v>
                </c:pt>
                <c:pt idx="49">
                  <c:v>88</c:v>
                </c:pt>
                <c:pt idx="50">
                  <c:v>70.52</c:v>
                </c:pt>
                <c:pt idx="51">
                  <c:v>99</c:v>
                </c:pt>
                <c:pt idx="52">
                  <c:v>22</c:v>
                </c:pt>
                <c:pt idx="53">
                  <c:v>50</c:v>
                </c:pt>
                <c:pt idx="5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33-48C4-B1F0-7897F54A5E6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Sci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93D9-48E4-8322-D4DD308069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93D9-48E4-8322-D4DD308069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93D9-48E4-8322-D4DD308069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93D9-48E4-8322-D4DD308069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93D9-48E4-8322-D4DD308069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93D9-48E4-8322-D4DD308069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93D9-48E4-8322-D4DD3080694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93D9-48E4-8322-D4DD3080694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93D9-48E4-8322-D4DD3080694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93D9-48E4-8322-D4DD3080694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93D9-48E4-8322-D4DD3080694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93D9-48E4-8322-D4DD3080694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93D9-48E4-8322-D4DD3080694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93D9-48E4-8322-D4DD3080694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93D9-48E4-8322-D4DD3080694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93D9-48E4-8322-D4DD3080694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93D9-48E4-8322-D4DD3080694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93D9-48E4-8322-D4DD3080694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93D9-48E4-8322-D4DD3080694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93D9-48E4-8322-D4DD3080694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93D9-48E4-8322-D4DD3080694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93D9-48E4-8322-D4DD3080694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93D9-48E4-8322-D4DD3080694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93D9-48E4-8322-D4DD3080694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93D9-48E4-8322-D4DD3080694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93D9-48E4-8322-D4DD3080694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93D9-48E4-8322-D4DD3080694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93D9-48E4-8322-D4DD3080694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93D9-48E4-8322-D4DD3080694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93D9-48E4-8322-D4DD3080694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93D9-48E4-8322-D4DD3080694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93D9-48E4-8322-D4DD3080694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93D9-48E4-8322-D4DD3080694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93D9-48E4-8322-D4DD3080694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93D9-48E4-8322-D4DD3080694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93D9-48E4-8322-D4DD3080694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93D9-48E4-8322-D4DD3080694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93D9-48E4-8322-D4DD3080694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93D9-48E4-8322-D4DD3080694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93D9-48E4-8322-D4DD3080694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93D9-48E4-8322-D4DD3080694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93D9-48E4-8322-D4DD3080694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93D9-48E4-8322-D4DD3080694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93D9-48E4-8322-D4DD3080694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93D9-48E4-8322-D4DD3080694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93D9-48E4-8322-D4DD3080694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93D9-48E4-8322-D4DD3080694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93D9-48E4-8322-D4DD3080694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93D9-48E4-8322-D4DD3080694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93D9-48E4-8322-D4DD3080694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93D9-48E4-8322-D4DD3080694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93D9-48E4-8322-D4DD3080694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93D9-48E4-8322-D4DD3080694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93D9-48E4-8322-D4DD3080694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93D9-48E4-8322-D4DD3080694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93D9-48E4-8322-D4DD3080694E}"/>
              </c:ext>
            </c:extLst>
          </c:dPt>
          <c:cat>
            <c:strRef>
              <c:f>Sheet1!$A$2:$A$56</c:f>
              <c:strCache>
                <c:ptCount val="55"/>
                <c:pt idx="0">
                  <c:v>brian mwangi</c:v>
                </c:pt>
                <c:pt idx="1">
                  <c:v>grace wanjiku</c:v>
                </c:pt>
                <c:pt idx="2">
                  <c:v>john kamau</c:v>
                </c:pt>
                <c:pt idx="3">
                  <c:v>mary njeri</c:v>
                </c:pt>
                <c:pt idx="4">
                  <c:v>peter otieno</c:v>
                </c:pt>
                <c:pt idx="5">
                  <c:v>faith achieng </c:v>
                </c:pt>
                <c:pt idx="6">
                  <c:v>david kiptoo</c:v>
                </c:pt>
                <c:pt idx="7">
                  <c:v>james kariuki</c:v>
                </c:pt>
                <c:pt idx="8">
                  <c:v>ruth otieno</c:v>
                </c:pt>
                <c:pt idx="9">
                  <c:v>esther wambua</c:v>
                </c:pt>
                <c:pt idx="10">
                  <c:v>daniel mutisa</c:v>
                </c:pt>
                <c:pt idx="11">
                  <c:v>samuel kipchoge</c:v>
                </c:pt>
                <c:pt idx="12">
                  <c:v>sharon chebet</c:v>
                </c:pt>
                <c:pt idx="13">
                  <c:v>vivian odhiambo</c:v>
                </c:pt>
                <c:pt idx="14">
                  <c:v>kevin kibet</c:v>
                </c:pt>
                <c:pt idx="15">
                  <c:v>collins musyoka</c:v>
                </c:pt>
                <c:pt idx="16">
                  <c:v>janet muthoni</c:v>
                </c:pt>
                <c:pt idx="17">
                  <c:v>dennis barasa</c:v>
                </c:pt>
                <c:pt idx="18">
                  <c:v>alex kimani</c:v>
                </c:pt>
                <c:pt idx="19">
                  <c:v>partrick muli</c:v>
                </c:pt>
                <c:pt idx="20">
                  <c:v>caroline akoth</c:v>
                </c:pt>
                <c:pt idx="21">
                  <c:v>emanuel kiprono</c:v>
                </c:pt>
                <c:pt idx="22">
                  <c:v>susan wangari</c:v>
                </c:pt>
                <c:pt idx="23">
                  <c:v>victor njoroge </c:v>
                </c:pt>
                <c:pt idx="24">
                  <c:v>diana wambua</c:v>
                </c:pt>
                <c:pt idx="25">
                  <c:v>nancy wanjala</c:v>
                </c:pt>
                <c:pt idx="26">
                  <c:v>stella akinyi</c:v>
                </c:pt>
                <c:pt idx="27">
                  <c:v>francis karanja</c:v>
                </c:pt>
                <c:pt idx="28">
                  <c:v>lydia cherono</c:v>
                </c:pt>
                <c:pt idx="29">
                  <c:v>beatrice wanjiru</c:v>
                </c:pt>
                <c:pt idx="30">
                  <c:v>pamela otieno</c:v>
                </c:pt>
                <c:pt idx="31">
                  <c:v>charles were</c:v>
                </c:pt>
                <c:pt idx="32">
                  <c:v>edwin mutiso</c:v>
                </c:pt>
                <c:pt idx="33">
                  <c:v>oscar kipkemoi</c:v>
                </c:pt>
                <c:pt idx="34">
                  <c:v>caroline wanjiku</c:v>
                </c:pt>
                <c:pt idx="35">
                  <c:v>timothy mwende</c:v>
                </c:pt>
                <c:pt idx="36">
                  <c:v>rebecca chepgeno</c:v>
                </c:pt>
                <c:pt idx="37">
                  <c:v>brian mwangi</c:v>
                </c:pt>
                <c:pt idx="38">
                  <c:v>grace wanjiku</c:v>
                </c:pt>
                <c:pt idx="39">
                  <c:v>david kiptoo</c:v>
                </c:pt>
                <c:pt idx="40">
                  <c:v>james kariuki</c:v>
                </c:pt>
                <c:pt idx="41">
                  <c:v>ruth  opiyo</c:v>
                </c:pt>
                <c:pt idx="42">
                  <c:v>joseph  maina</c:v>
                </c:pt>
                <c:pt idx="43">
                  <c:v>faith achieng </c:v>
                </c:pt>
                <c:pt idx="44">
                  <c:v>michal ochieng</c:v>
                </c:pt>
                <c:pt idx="45">
                  <c:v>vivian odhiambo</c:v>
                </c:pt>
                <c:pt idx="46">
                  <c:v>kevin kiptoo</c:v>
                </c:pt>
                <c:pt idx="47">
                  <c:v>ann wairimu</c:v>
                </c:pt>
                <c:pt idx="48">
                  <c:v>mercy jepkosgei</c:v>
                </c:pt>
                <c:pt idx="49">
                  <c:v>mary njeri</c:v>
                </c:pt>
                <c:pt idx="50">
                  <c:v>Average</c:v>
                </c:pt>
                <c:pt idx="51">
                  <c:v>Max</c:v>
                </c:pt>
                <c:pt idx="52">
                  <c:v>Min</c:v>
                </c:pt>
                <c:pt idx="53">
                  <c:v>count</c:v>
                </c:pt>
                <c:pt idx="54">
                  <c:v>median</c:v>
                </c:pt>
              </c:strCache>
            </c:strRef>
          </c:cat>
          <c:val>
            <c:numRef>
              <c:f>Sheet1!$E$2:$E$56</c:f>
              <c:numCache>
                <c:formatCode>General</c:formatCode>
                <c:ptCount val="55"/>
                <c:pt idx="0">
                  <c:v>67</c:v>
                </c:pt>
                <c:pt idx="1">
                  <c:v>53</c:v>
                </c:pt>
                <c:pt idx="2">
                  <c:v>45</c:v>
                </c:pt>
                <c:pt idx="3">
                  <c:v>67</c:v>
                </c:pt>
                <c:pt idx="4">
                  <c:v>66</c:v>
                </c:pt>
                <c:pt idx="5">
                  <c:v>54</c:v>
                </c:pt>
                <c:pt idx="6">
                  <c:v>34</c:v>
                </c:pt>
                <c:pt idx="7">
                  <c:v>33</c:v>
                </c:pt>
                <c:pt idx="8">
                  <c:v>44</c:v>
                </c:pt>
                <c:pt idx="9">
                  <c:v>56</c:v>
                </c:pt>
                <c:pt idx="10">
                  <c:v>78</c:v>
                </c:pt>
                <c:pt idx="11">
                  <c:v>76</c:v>
                </c:pt>
                <c:pt idx="12">
                  <c:v>54</c:v>
                </c:pt>
                <c:pt idx="13">
                  <c:v>45</c:v>
                </c:pt>
                <c:pt idx="14">
                  <c:v>67</c:v>
                </c:pt>
                <c:pt idx="15">
                  <c:v>88</c:v>
                </c:pt>
                <c:pt idx="16">
                  <c:v>98</c:v>
                </c:pt>
                <c:pt idx="17">
                  <c:v>76</c:v>
                </c:pt>
                <c:pt idx="18">
                  <c:v>54</c:v>
                </c:pt>
                <c:pt idx="19">
                  <c:v>34</c:v>
                </c:pt>
                <c:pt idx="20">
                  <c:v>56</c:v>
                </c:pt>
                <c:pt idx="21">
                  <c:v>78</c:v>
                </c:pt>
                <c:pt idx="22">
                  <c:v>76</c:v>
                </c:pt>
                <c:pt idx="23">
                  <c:v>89</c:v>
                </c:pt>
                <c:pt idx="24">
                  <c:v>66</c:v>
                </c:pt>
                <c:pt idx="25">
                  <c:v>77</c:v>
                </c:pt>
                <c:pt idx="26">
                  <c:v>67</c:v>
                </c:pt>
                <c:pt idx="27">
                  <c:v>66</c:v>
                </c:pt>
                <c:pt idx="28">
                  <c:v>77</c:v>
                </c:pt>
                <c:pt idx="29">
                  <c:v>66</c:v>
                </c:pt>
                <c:pt idx="30">
                  <c:v>88</c:v>
                </c:pt>
                <c:pt idx="31">
                  <c:v>99</c:v>
                </c:pt>
                <c:pt idx="32">
                  <c:v>55</c:v>
                </c:pt>
                <c:pt idx="33">
                  <c:v>44</c:v>
                </c:pt>
                <c:pt idx="34">
                  <c:v>56</c:v>
                </c:pt>
                <c:pt idx="35">
                  <c:v>54</c:v>
                </c:pt>
                <c:pt idx="36">
                  <c:v>67</c:v>
                </c:pt>
                <c:pt idx="37">
                  <c:v>56</c:v>
                </c:pt>
                <c:pt idx="38">
                  <c:v>78</c:v>
                </c:pt>
                <c:pt idx="39">
                  <c:v>65</c:v>
                </c:pt>
                <c:pt idx="40">
                  <c:v>45</c:v>
                </c:pt>
                <c:pt idx="41">
                  <c:v>67</c:v>
                </c:pt>
                <c:pt idx="42">
                  <c:v>65</c:v>
                </c:pt>
                <c:pt idx="43">
                  <c:v>78</c:v>
                </c:pt>
                <c:pt idx="44">
                  <c:v>67</c:v>
                </c:pt>
                <c:pt idx="45">
                  <c:v>87</c:v>
                </c:pt>
                <c:pt idx="46">
                  <c:v>98</c:v>
                </c:pt>
                <c:pt idx="47">
                  <c:v>76</c:v>
                </c:pt>
                <c:pt idx="48">
                  <c:v>54</c:v>
                </c:pt>
                <c:pt idx="49">
                  <c:v>65</c:v>
                </c:pt>
                <c:pt idx="50">
                  <c:v>65.42</c:v>
                </c:pt>
                <c:pt idx="51">
                  <c:v>99</c:v>
                </c:pt>
                <c:pt idx="52">
                  <c:v>33</c:v>
                </c:pt>
                <c:pt idx="53">
                  <c:v>50</c:v>
                </c:pt>
                <c:pt idx="5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33-48C4-B1F0-7897F54A5E6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Chem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93D9-48E4-8322-D4DD308069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93D9-48E4-8322-D4DD308069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93D9-48E4-8322-D4DD308069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93D9-48E4-8322-D4DD308069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93D9-48E4-8322-D4DD308069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93D9-48E4-8322-D4DD308069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93D9-48E4-8322-D4DD3080694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93D9-48E4-8322-D4DD3080694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93D9-48E4-8322-D4DD3080694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93D9-48E4-8322-D4DD3080694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93D9-48E4-8322-D4DD3080694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93D9-48E4-8322-D4DD3080694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93D9-48E4-8322-D4DD3080694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93D9-48E4-8322-D4DD3080694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93D9-48E4-8322-D4DD3080694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93D9-48E4-8322-D4DD3080694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93D9-48E4-8322-D4DD3080694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93D9-48E4-8322-D4DD3080694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93D9-48E4-8322-D4DD3080694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93D9-48E4-8322-D4DD3080694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93D9-48E4-8322-D4DD3080694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93D9-48E4-8322-D4DD3080694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93D9-48E4-8322-D4DD3080694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93D9-48E4-8322-D4DD3080694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93D9-48E4-8322-D4DD3080694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93D9-48E4-8322-D4DD3080694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93D9-48E4-8322-D4DD3080694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93D9-48E4-8322-D4DD3080694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93D9-48E4-8322-D4DD3080694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93D9-48E4-8322-D4DD3080694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93D9-48E4-8322-D4DD3080694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93D9-48E4-8322-D4DD3080694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93D9-48E4-8322-D4DD3080694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93D9-48E4-8322-D4DD3080694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93D9-48E4-8322-D4DD3080694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93D9-48E4-8322-D4DD3080694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93D9-48E4-8322-D4DD3080694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93D9-48E4-8322-D4DD3080694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93D9-48E4-8322-D4DD3080694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93D9-48E4-8322-D4DD3080694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93D9-48E4-8322-D4DD3080694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93D9-48E4-8322-D4DD3080694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93D9-48E4-8322-D4DD3080694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93D9-48E4-8322-D4DD3080694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93D9-48E4-8322-D4DD3080694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93D9-48E4-8322-D4DD3080694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93D9-48E4-8322-D4DD3080694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93D9-48E4-8322-D4DD3080694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93D9-48E4-8322-D4DD3080694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93D9-48E4-8322-D4DD3080694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93D9-48E4-8322-D4DD3080694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93D9-48E4-8322-D4DD3080694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93D9-48E4-8322-D4DD3080694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93D9-48E4-8322-D4DD3080694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93D9-48E4-8322-D4DD3080694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93D9-48E4-8322-D4DD3080694E}"/>
              </c:ext>
            </c:extLst>
          </c:dPt>
          <c:cat>
            <c:strRef>
              <c:f>Sheet1!$A$2:$A$56</c:f>
              <c:strCache>
                <c:ptCount val="55"/>
                <c:pt idx="0">
                  <c:v>brian mwangi</c:v>
                </c:pt>
                <c:pt idx="1">
                  <c:v>grace wanjiku</c:v>
                </c:pt>
                <c:pt idx="2">
                  <c:v>john kamau</c:v>
                </c:pt>
                <c:pt idx="3">
                  <c:v>mary njeri</c:v>
                </c:pt>
                <c:pt idx="4">
                  <c:v>peter otieno</c:v>
                </c:pt>
                <c:pt idx="5">
                  <c:v>faith achieng </c:v>
                </c:pt>
                <c:pt idx="6">
                  <c:v>david kiptoo</c:v>
                </c:pt>
                <c:pt idx="7">
                  <c:v>james kariuki</c:v>
                </c:pt>
                <c:pt idx="8">
                  <c:v>ruth otieno</c:v>
                </c:pt>
                <c:pt idx="9">
                  <c:v>esther wambua</c:v>
                </c:pt>
                <c:pt idx="10">
                  <c:v>daniel mutisa</c:v>
                </c:pt>
                <c:pt idx="11">
                  <c:v>samuel kipchoge</c:v>
                </c:pt>
                <c:pt idx="12">
                  <c:v>sharon chebet</c:v>
                </c:pt>
                <c:pt idx="13">
                  <c:v>vivian odhiambo</c:v>
                </c:pt>
                <c:pt idx="14">
                  <c:v>kevin kibet</c:v>
                </c:pt>
                <c:pt idx="15">
                  <c:v>collins musyoka</c:v>
                </c:pt>
                <c:pt idx="16">
                  <c:v>janet muthoni</c:v>
                </c:pt>
                <c:pt idx="17">
                  <c:v>dennis barasa</c:v>
                </c:pt>
                <c:pt idx="18">
                  <c:v>alex kimani</c:v>
                </c:pt>
                <c:pt idx="19">
                  <c:v>partrick muli</c:v>
                </c:pt>
                <c:pt idx="20">
                  <c:v>caroline akoth</c:v>
                </c:pt>
                <c:pt idx="21">
                  <c:v>emanuel kiprono</c:v>
                </c:pt>
                <c:pt idx="22">
                  <c:v>susan wangari</c:v>
                </c:pt>
                <c:pt idx="23">
                  <c:v>victor njoroge </c:v>
                </c:pt>
                <c:pt idx="24">
                  <c:v>diana wambua</c:v>
                </c:pt>
                <c:pt idx="25">
                  <c:v>nancy wanjala</c:v>
                </c:pt>
                <c:pt idx="26">
                  <c:v>stella akinyi</c:v>
                </c:pt>
                <c:pt idx="27">
                  <c:v>francis karanja</c:v>
                </c:pt>
                <c:pt idx="28">
                  <c:v>lydia cherono</c:v>
                </c:pt>
                <c:pt idx="29">
                  <c:v>beatrice wanjiru</c:v>
                </c:pt>
                <c:pt idx="30">
                  <c:v>pamela otieno</c:v>
                </c:pt>
                <c:pt idx="31">
                  <c:v>charles were</c:v>
                </c:pt>
                <c:pt idx="32">
                  <c:v>edwin mutiso</c:v>
                </c:pt>
                <c:pt idx="33">
                  <c:v>oscar kipkemoi</c:v>
                </c:pt>
                <c:pt idx="34">
                  <c:v>caroline wanjiku</c:v>
                </c:pt>
                <c:pt idx="35">
                  <c:v>timothy mwende</c:v>
                </c:pt>
                <c:pt idx="36">
                  <c:v>rebecca chepgeno</c:v>
                </c:pt>
                <c:pt idx="37">
                  <c:v>brian mwangi</c:v>
                </c:pt>
                <c:pt idx="38">
                  <c:v>grace wanjiku</c:v>
                </c:pt>
                <c:pt idx="39">
                  <c:v>david kiptoo</c:v>
                </c:pt>
                <c:pt idx="40">
                  <c:v>james kariuki</c:v>
                </c:pt>
                <c:pt idx="41">
                  <c:v>ruth  opiyo</c:v>
                </c:pt>
                <c:pt idx="42">
                  <c:v>joseph  maina</c:v>
                </c:pt>
                <c:pt idx="43">
                  <c:v>faith achieng </c:v>
                </c:pt>
                <c:pt idx="44">
                  <c:v>michal ochieng</c:v>
                </c:pt>
                <c:pt idx="45">
                  <c:v>vivian odhiambo</c:v>
                </c:pt>
                <c:pt idx="46">
                  <c:v>kevin kiptoo</c:v>
                </c:pt>
                <c:pt idx="47">
                  <c:v>ann wairimu</c:v>
                </c:pt>
                <c:pt idx="48">
                  <c:v>mercy jepkosgei</c:v>
                </c:pt>
                <c:pt idx="49">
                  <c:v>mary njeri</c:v>
                </c:pt>
                <c:pt idx="50">
                  <c:v>Average</c:v>
                </c:pt>
                <c:pt idx="51">
                  <c:v>Max</c:v>
                </c:pt>
                <c:pt idx="52">
                  <c:v>Min</c:v>
                </c:pt>
                <c:pt idx="53">
                  <c:v>count</c:v>
                </c:pt>
                <c:pt idx="54">
                  <c:v>median</c:v>
                </c:pt>
              </c:strCache>
            </c:strRef>
          </c:cat>
          <c:val>
            <c:numRef>
              <c:f>Sheet1!$F$2:$F$56</c:f>
              <c:numCache>
                <c:formatCode>General</c:formatCode>
                <c:ptCount val="55"/>
                <c:pt idx="0">
                  <c:v>65</c:v>
                </c:pt>
                <c:pt idx="1">
                  <c:v>54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87</c:v>
                </c:pt>
                <c:pt idx="6">
                  <c:v>87</c:v>
                </c:pt>
                <c:pt idx="7">
                  <c:v>87</c:v>
                </c:pt>
                <c:pt idx="8">
                  <c:v>66</c:v>
                </c:pt>
                <c:pt idx="9">
                  <c:v>77</c:v>
                </c:pt>
                <c:pt idx="10">
                  <c:v>45</c:v>
                </c:pt>
                <c:pt idx="11">
                  <c:v>44</c:v>
                </c:pt>
                <c:pt idx="12">
                  <c:v>56</c:v>
                </c:pt>
                <c:pt idx="13">
                  <c:v>67</c:v>
                </c:pt>
                <c:pt idx="14">
                  <c:v>78</c:v>
                </c:pt>
                <c:pt idx="15">
                  <c:v>56</c:v>
                </c:pt>
                <c:pt idx="16">
                  <c:v>56</c:v>
                </c:pt>
                <c:pt idx="17">
                  <c:v>34</c:v>
                </c:pt>
                <c:pt idx="18">
                  <c:v>56</c:v>
                </c:pt>
                <c:pt idx="19">
                  <c:v>78</c:v>
                </c:pt>
                <c:pt idx="20">
                  <c:v>87</c:v>
                </c:pt>
                <c:pt idx="21">
                  <c:v>98</c:v>
                </c:pt>
                <c:pt idx="22">
                  <c:v>67</c:v>
                </c:pt>
                <c:pt idx="23">
                  <c:v>67</c:v>
                </c:pt>
                <c:pt idx="24">
                  <c:v>98</c:v>
                </c:pt>
                <c:pt idx="25">
                  <c:v>90</c:v>
                </c:pt>
                <c:pt idx="26">
                  <c:v>56</c:v>
                </c:pt>
                <c:pt idx="27">
                  <c:v>56</c:v>
                </c:pt>
                <c:pt idx="28">
                  <c:v>76</c:v>
                </c:pt>
                <c:pt idx="29">
                  <c:v>87</c:v>
                </c:pt>
                <c:pt idx="30">
                  <c:v>45</c:v>
                </c:pt>
                <c:pt idx="31">
                  <c:v>45</c:v>
                </c:pt>
                <c:pt idx="32">
                  <c:v>67</c:v>
                </c:pt>
                <c:pt idx="33">
                  <c:v>44</c:v>
                </c:pt>
                <c:pt idx="34">
                  <c:v>56</c:v>
                </c:pt>
                <c:pt idx="35">
                  <c:v>67</c:v>
                </c:pt>
                <c:pt idx="36">
                  <c:v>45</c:v>
                </c:pt>
                <c:pt idx="37">
                  <c:v>67</c:v>
                </c:pt>
                <c:pt idx="38">
                  <c:v>87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78</c:v>
                </c:pt>
                <c:pt idx="43">
                  <c:v>76</c:v>
                </c:pt>
                <c:pt idx="44">
                  <c:v>54</c:v>
                </c:pt>
                <c:pt idx="45">
                  <c:v>56</c:v>
                </c:pt>
                <c:pt idx="46">
                  <c:v>65</c:v>
                </c:pt>
                <c:pt idx="47">
                  <c:v>43</c:v>
                </c:pt>
                <c:pt idx="48">
                  <c:v>56</c:v>
                </c:pt>
                <c:pt idx="49">
                  <c:v>78</c:v>
                </c:pt>
                <c:pt idx="50">
                  <c:v>65.3</c:v>
                </c:pt>
                <c:pt idx="51">
                  <c:v>98</c:v>
                </c:pt>
                <c:pt idx="52">
                  <c:v>34</c:v>
                </c:pt>
                <c:pt idx="53">
                  <c:v>50</c:v>
                </c:pt>
                <c:pt idx="5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33-48C4-B1F0-7897F54A5E62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Total 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93D9-48E4-8322-D4DD308069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93D9-48E4-8322-D4DD308069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93D9-48E4-8322-D4DD308069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93D9-48E4-8322-D4DD308069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93D9-48E4-8322-D4DD308069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93D9-48E4-8322-D4DD308069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93D9-48E4-8322-D4DD3080694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93D9-48E4-8322-D4DD3080694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93D9-48E4-8322-D4DD3080694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93D9-48E4-8322-D4DD3080694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93D9-48E4-8322-D4DD3080694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93D9-48E4-8322-D4DD3080694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93D9-48E4-8322-D4DD3080694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93D9-48E4-8322-D4DD3080694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93D9-48E4-8322-D4DD3080694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93D9-48E4-8322-D4DD3080694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93D9-48E4-8322-D4DD3080694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93D9-48E4-8322-D4DD3080694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93D9-48E4-8322-D4DD3080694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93D9-48E4-8322-D4DD3080694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93D9-48E4-8322-D4DD3080694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93D9-48E4-8322-D4DD3080694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93D9-48E4-8322-D4DD3080694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93D9-48E4-8322-D4DD3080694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93D9-48E4-8322-D4DD3080694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93D9-48E4-8322-D4DD3080694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93D9-48E4-8322-D4DD3080694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93D9-48E4-8322-D4DD3080694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93D9-48E4-8322-D4DD3080694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93D9-48E4-8322-D4DD3080694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93D9-48E4-8322-D4DD3080694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93D9-48E4-8322-D4DD3080694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93D9-48E4-8322-D4DD3080694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93D9-48E4-8322-D4DD3080694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93D9-48E4-8322-D4DD3080694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93D9-48E4-8322-D4DD3080694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93D9-48E4-8322-D4DD3080694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93D9-48E4-8322-D4DD3080694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93D9-48E4-8322-D4DD3080694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93D9-48E4-8322-D4DD3080694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93D9-48E4-8322-D4DD3080694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93D9-48E4-8322-D4DD3080694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93D9-48E4-8322-D4DD3080694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93D9-48E4-8322-D4DD3080694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93D9-48E4-8322-D4DD3080694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93D9-48E4-8322-D4DD3080694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93D9-48E4-8322-D4DD3080694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93D9-48E4-8322-D4DD3080694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93D9-48E4-8322-D4DD3080694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93D9-48E4-8322-D4DD3080694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93D9-48E4-8322-D4DD3080694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93D9-48E4-8322-D4DD3080694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93D9-48E4-8322-D4DD3080694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93D9-48E4-8322-D4DD3080694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93D9-48E4-8322-D4DD3080694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93D9-48E4-8322-D4DD3080694E}"/>
              </c:ext>
            </c:extLst>
          </c:dPt>
          <c:cat>
            <c:strRef>
              <c:f>Sheet1!$A$2:$A$56</c:f>
              <c:strCache>
                <c:ptCount val="55"/>
                <c:pt idx="0">
                  <c:v>brian mwangi</c:v>
                </c:pt>
                <c:pt idx="1">
                  <c:v>grace wanjiku</c:v>
                </c:pt>
                <c:pt idx="2">
                  <c:v>john kamau</c:v>
                </c:pt>
                <c:pt idx="3">
                  <c:v>mary njeri</c:v>
                </c:pt>
                <c:pt idx="4">
                  <c:v>peter otieno</c:v>
                </c:pt>
                <c:pt idx="5">
                  <c:v>faith achieng </c:v>
                </c:pt>
                <c:pt idx="6">
                  <c:v>david kiptoo</c:v>
                </c:pt>
                <c:pt idx="7">
                  <c:v>james kariuki</c:v>
                </c:pt>
                <c:pt idx="8">
                  <c:v>ruth otieno</c:v>
                </c:pt>
                <c:pt idx="9">
                  <c:v>esther wambua</c:v>
                </c:pt>
                <c:pt idx="10">
                  <c:v>daniel mutisa</c:v>
                </c:pt>
                <c:pt idx="11">
                  <c:v>samuel kipchoge</c:v>
                </c:pt>
                <c:pt idx="12">
                  <c:v>sharon chebet</c:v>
                </c:pt>
                <c:pt idx="13">
                  <c:v>vivian odhiambo</c:v>
                </c:pt>
                <c:pt idx="14">
                  <c:v>kevin kibet</c:v>
                </c:pt>
                <c:pt idx="15">
                  <c:v>collins musyoka</c:v>
                </c:pt>
                <c:pt idx="16">
                  <c:v>janet muthoni</c:v>
                </c:pt>
                <c:pt idx="17">
                  <c:v>dennis barasa</c:v>
                </c:pt>
                <c:pt idx="18">
                  <c:v>alex kimani</c:v>
                </c:pt>
                <c:pt idx="19">
                  <c:v>partrick muli</c:v>
                </c:pt>
                <c:pt idx="20">
                  <c:v>caroline akoth</c:v>
                </c:pt>
                <c:pt idx="21">
                  <c:v>emanuel kiprono</c:v>
                </c:pt>
                <c:pt idx="22">
                  <c:v>susan wangari</c:v>
                </c:pt>
                <c:pt idx="23">
                  <c:v>victor njoroge </c:v>
                </c:pt>
                <c:pt idx="24">
                  <c:v>diana wambua</c:v>
                </c:pt>
                <c:pt idx="25">
                  <c:v>nancy wanjala</c:v>
                </c:pt>
                <c:pt idx="26">
                  <c:v>stella akinyi</c:v>
                </c:pt>
                <c:pt idx="27">
                  <c:v>francis karanja</c:v>
                </c:pt>
                <c:pt idx="28">
                  <c:v>lydia cherono</c:v>
                </c:pt>
                <c:pt idx="29">
                  <c:v>beatrice wanjiru</c:v>
                </c:pt>
                <c:pt idx="30">
                  <c:v>pamela otieno</c:v>
                </c:pt>
                <c:pt idx="31">
                  <c:v>charles were</c:v>
                </c:pt>
                <c:pt idx="32">
                  <c:v>edwin mutiso</c:v>
                </c:pt>
                <c:pt idx="33">
                  <c:v>oscar kipkemoi</c:v>
                </c:pt>
                <c:pt idx="34">
                  <c:v>caroline wanjiku</c:v>
                </c:pt>
                <c:pt idx="35">
                  <c:v>timothy mwende</c:v>
                </c:pt>
                <c:pt idx="36">
                  <c:v>rebecca chepgeno</c:v>
                </c:pt>
                <c:pt idx="37">
                  <c:v>brian mwangi</c:v>
                </c:pt>
                <c:pt idx="38">
                  <c:v>grace wanjiku</c:v>
                </c:pt>
                <c:pt idx="39">
                  <c:v>david kiptoo</c:v>
                </c:pt>
                <c:pt idx="40">
                  <c:v>james kariuki</c:v>
                </c:pt>
                <c:pt idx="41">
                  <c:v>ruth  opiyo</c:v>
                </c:pt>
                <c:pt idx="42">
                  <c:v>joseph  maina</c:v>
                </c:pt>
                <c:pt idx="43">
                  <c:v>faith achieng </c:v>
                </c:pt>
                <c:pt idx="44">
                  <c:v>michal ochieng</c:v>
                </c:pt>
                <c:pt idx="45">
                  <c:v>vivian odhiambo</c:v>
                </c:pt>
                <c:pt idx="46">
                  <c:v>kevin kiptoo</c:v>
                </c:pt>
                <c:pt idx="47">
                  <c:v>ann wairimu</c:v>
                </c:pt>
                <c:pt idx="48">
                  <c:v>mercy jepkosgei</c:v>
                </c:pt>
                <c:pt idx="49">
                  <c:v>mary njeri</c:v>
                </c:pt>
                <c:pt idx="50">
                  <c:v>Average</c:v>
                </c:pt>
                <c:pt idx="51">
                  <c:v>Max</c:v>
                </c:pt>
                <c:pt idx="52">
                  <c:v>Min</c:v>
                </c:pt>
                <c:pt idx="53">
                  <c:v>count</c:v>
                </c:pt>
                <c:pt idx="54">
                  <c:v>median</c:v>
                </c:pt>
              </c:strCache>
            </c:strRef>
          </c:cat>
          <c:val>
            <c:numRef>
              <c:f>Sheet1!$G$2:$G$56</c:f>
              <c:numCache>
                <c:formatCode>General</c:formatCode>
                <c:ptCount val="55"/>
                <c:pt idx="0">
                  <c:v>350</c:v>
                </c:pt>
                <c:pt idx="1">
                  <c:v>328</c:v>
                </c:pt>
                <c:pt idx="2">
                  <c:v>309</c:v>
                </c:pt>
                <c:pt idx="3">
                  <c:v>343</c:v>
                </c:pt>
                <c:pt idx="4">
                  <c:v>407</c:v>
                </c:pt>
                <c:pt idx="5">
                  <c:v>329</c:v>
                </c:pt>
                <c:pt idx="6">
                  <c:v>353</c:v>
                </c:pt>
                <c:pt idx="7">
                  <c:v>359</c:v>
                </c:pt>
                <c:pt idx="8">
                  <c:v>306</c:v>
                </c:pt>
                <c:pt idx="9">
                  <c:v>308</c:v>
                </c:pt>
                <c:pt idx="10">
                  <c:v>299</c:v>
                </c:pt>
                <c:pt idx="11">
                  <c:v>252</c:v>
                </c:pt>
                <c:pt idx="12">
                  <c:v>276</c:v>
                </c:pt>
                <c:pt idx="13">
                  <c:v>254</c:v>
                </c:pt>
                <c:pt idx="14">
                  <c:v>289</c:v>
                </c:pt>
                <c:pt idx="15">
                  <c:v>299</c:v>
                </c:pt>
                <c:pt idx="16">
                  <c:v>297</c:v>
                </c:pt>
                <c:pt idx="17">
                  <c:v>254</c:v>
                </c:pt>
                <c:pt idx="18">
                  <c:v>298</c:v>
                </c:pt>
                <c:pt idx="19">
                  <c:v>344</c:v>
                </c:pt>
                <c:pt idx="20">
                  <c:v>386</c:v>
                </c:pt>
                <c:pt idx="21">
                  <c:v>408</c:v>
                </c:pt>
                <c:pt idx="22">
                  <c:v>373</c:v>
                </c:pt>
                <c:pt idx="23">
                  <c:v>366</c:v>
                </c:pt>
                <c:pt idx="24">
                  <c:v>364</c:v>
                </c:pt>
                <c:pt idx="25">
                  <c:v>398</c:v>
                </c:pt>
                <c:pt idx="26">
                  <c:v>364</c:v>
                </c:pt>
                <c:pt idx="27">
                  <c:v>288</c:v>
                </c:pt>
                <c:pt idx="28">
                  <c:v>362</c:v>
                </c:pt>
                <c:pt idx="29">
                  <c:v>341</c:v>
                </c:pt>
                <c:pt idx="30">
                  <c:v>374</c:v>
                </c:pt>
                <c:pt idx="31">
                  <c:v>320</c:v>
                </c:pt>
                <c:pt idx="32">
                  <c:v>309</c:v>
                </c:pt>
                <c:pt idx="33">
                  <c:v>309</c:v>
                </c:pt>
                <c:pt idx="34">
                  <c:v>323</c:v>
                </c:pt>
                <c:pt idx="35">
                  <c:v>351</c:v>
                </c:pt>
                <c:pt idx="36">
                  <c:v>298</c:v>
                </c:pt>
                <c:pt idx="37">
                  <c:v>333</c:v>
                </c:pt>
                <c:pt idx="38">
                  <c:v>396</c:v>
                </c:pt>
                <c:pt idx="39">
                  <c:v>317</c:v>
                </c:pt>
                <c:pt idx="40">
                  <c:v>274</c:v>
                </c:pt>
                <c:pt idx="41">
                  <c:v>298</c:v>
                </c:pt>
                <c:pt idx="42">
                  <c:v>350</c:v>
                </c:pt>
                <c:pt idx="43">
                  <c:v>391</c:v>
                </c:pt>
                <c:pt idx="44">
                  <c:v>348</c:v>
                </c:pt>
                <c:pt idx="45">
                  <c:v>392</c:v>
                </c:pt>
                <c:pt idx="46">
                  <c:v>396</c:v>
                </c:pt>
                <c:pt idx="47">
                  <c:v>332</c:v>
                </c:pt>
                <c:pt idx="48">
                  <c:v>362</c:v>
                </c:pt>
                <c:pt idx="49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33-48C4-B1F0-7897F54A5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[EXCEL.xlsx]Sheet4!PivotTable2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marks per student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Sum of Math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Sheet4!$B$2:$B$50</c:f>
              <c:numCache>
                <c:formatCode>General</c:formatCode>
                <c:ptCount val="48"/>
                <c:pt idx="0">
                  <c:v>45</c:v>
                </c:pt>
                <c:pt idx="1">
                  <c:v>67</c:v>
                </c:pt>
                <c:pt idx="2">
                  <c:v>70.319999999999993</c:v>
                </c:pt>
                <c:pt idx="3">
                  <c:v>67</c:v>
                </c:pt>
                <c:pt idx="4">
                  <c:v>112</c:v>
                </c:pt>
                <c:pt idx="5">
                  <c:v>76</c:v>
                </c:pt>
                <c:pt idx="6">
                  <c:v>90</c:v>
                </c:pt>
                <c:pt idx="7">
                  <c:v>88</c:v>
                </c:pt>
                <c:pt idx="8">
                  <c:v>78</c:v>
                </c:pt>
                <c:pt idx="9">
                  <c:v>50</c:v>
                </c:pt>
                <c:pt idx="10">
                  <c:v>67</c:v>
                </c:pt>
                <c:pt idx="11">
                  <c:v>153</c:v>
                </c:pt>
                <c:pt idx="12">
                  <c:v>23</c:v>
                </c:pt>
                <c:pt idx="13">
                  <c:v>67</c:v>
                </c:pt>
                <c:pt idx="14">
                  <c:v>77</c:v>
                </c:pt>
                <c:pt idx="15">
                  <c:v>87</c:v>
                </c:pt>
                <c:pt idx="16">
                  <c:v>45</c:v>
                </c:pt>
                <c:pt idx="17">
                  <c:v>170</c:v>
                </c:pt>
                <c:pt idx="18">
                  <c:v>45</c:v>
                </c:pt>
                <c:pt idx="19">
                  <c:v>131</c:v>
                </c:pt>
                <c:pt idx="20">
                  <c:v>119</c:v>
                </c:pt>
                <c:pt idx="21">
                  <c:v>44</c:v>
                </c:pt>
                <c:pt idx="22">
                  <c:v>78</c:v>
                </c:pt>
                <c:pt idx="23">
                  <c:v>64</c:v>
                </c:pt>
                <c:pt idx="24">
                  <c:v>56</c:v>
                </c:pt>
                <c:pt idx="25">
                  <c:v>90</c:v>
                </c:pt>
                <c:pt idx="26">
                  <c:v>87</c:v>
                </c:pt>
                <c:pt idx="27">
                  <c:v>155</c:v>
                </c:pt>
                <c:pt idx="28">
                  <c:v>98</c:v>
                </c:pt>
                <c:pt idx="29">
                  <c:v>72.5</c:v>
                </c:pt>
                <c:pt idx="30">
                  <c:v>89</c:v>
                </c:pt>
                <c:pt idx="31">
                  <c:v>73</c:v>
                </c:pt>
                <c:pt idx="32">
                  <c:v>23</c:v>
                </c:pt>
                <c:pt idx="33">
                  <c:v>67</c:v>
                </c:pt>
                <c:pt idx="34">
                  <c:v>89</c:v>
                </c:pt>
                <c:pt idx="35">
                  <c:v>98</c:v>
                </c:pt>
                <c:pt idx="36">
                  <c:v>67</c:v>
                </c:pt>
                <c:pt idx="37">
                  <c:v>89</c:v>
                </c:pt>
                <c:pt idx="38">
                  <c:v>65</c:v>
                </c:pt>
                <c:pt idx="39">
                  <c:v>45</c:v>
                </c:pt>
                <c:pt idx="40">
                  <c:v>56</c:v>
                </c:pt>
                <c:pt idx="41">
                  <c:v>34</c:v>
                </c:pt>
                <c:pt idx="42">
                  <c:v>56</c:v>
                </c:pt>
                <c:pt idx="43">
                  <c:v>88</c:v>
                </c:pt>
                <c:pt idx="44">
                  <c:v>86</c:v>
                </c:pt>
                <c:pt idx="45">
                  <c:v>87</c:v>
                </c:pt>
                <c:pt idx="46">
                  <c:v>88</c:v>
                </c:pt>
                <c:pt idx="47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5-4BC9-A319-F3C821BBF6EB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Sum of Eng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Sheet4!$C$2:$C$50</c:f>
              <c:numCache>
                <c:formatCode>General</c:formatCode>
                <c:ptCount val="48"/>
                <c:pt idx="0">
                  <c:v>88</c:v>
                </c:pt>
                <c:pt idx="1">
                  <c:v>66</c:v>
                </c:pt>
                <c:pt idx="2">
                  <c:v>64.12</c:v>
                </c:pt>
                <c:pt idx="3">
                  <c:v>33</c:v>
                </c:pt>
                <c:pt idx="4">
                  <c:v>152</c:v>
                </c:pt>
                <c:pt idx="5">
                  <c:v>90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50</c:v>
                </c:pt>
                <c:pt idx="10">
                  <c:v>54</c:v>
                </c:pt>
                <c:pt idx="11">
                  <c:v>89</c:v>
                </c:pt>
                <c:pt idx="12">
                  <c:v>77</c:v>
                </c:pt>
                <c:pt idx="13">
                  <c:v>56</c:v>
                </c:pt>
                <c:pt idx="14">
                  <c:v>66</c:v>
                </c:pt>
                <c:pt idx="15">
                  <c:v>57</c:v>
                </c:pt>
                <c:pt idx="16">
                  <c:v>64</c:v>
                </c:pt>
                <c:pt idx="17">
                  <c:v>111</c:v>
                </c:pt>
                <c:pt idx="18">
                  <c:v>54</c:v>
                </c:pt>
                <c:pt idx="19">
                  <c:v>153</c:v>
                </c:pt>
                <c:pt idx="20">
                  <c:v>109</c:v>
                </c:pt>
                <c:pt idx="21">
                  <c:v>66</c:v>
                </c:pt>
                <c:pt idx="22">
                  <c:v>87</c:v>
                </c:pt>
                <c:pt idx="23">
                  <c:v>66</c:v>
                </c:pt>
                <c:pt idx="24">
                  <c:v>44</c:v>
                </c:pt>
                <c:pt idx="25">
                  <c:v>55</c:v>
                </c:pt>
                <c:pt idx="26">
                  <c:v>45</c:v>
                </c:pt>
                <c:pt idx="27">
                  <c:v>174</c:v>
                </c:pt>
                <c:pt idx="28">
                  <c:v>99</c:v>
                </c:pt>
                <c:pt idx="29">
                  <c:v>64.5</c:v>
                </c:pt>
                <c:pt idx="30">
                  <c:v>77</c:v>
                </c:pt>
                <c:pt idx="31">
                  <c:v>88</c:v>
                </c:pt>
                <c:pt idx="32">
                  <c:v>33</c:v>
                </c:pt>
                <c:pt idx="33">
                  <c:v>76</c:v>
                </c:pt>
                <c:pt idx="34">
                  <c:v>77</c:v>
                </c:pt>
                <c:pt idx="35">
                  <c:v>44</c:v>
                </c:pt>
                <c:pt idx="36">
                  <c:v>99</c:v>
                </c:pt>
                <c:pt idx="37">
                  <c:v>86</c:v>
                </c:pt>
                <c:pt idx="38">
                  <c:v>55</c:v>
                </c:pt>
                <c:pt idx="39">
                  <c:v>55</c:v>
                </c:pt>
                <c:pt idx="40">
                  <c:v>64</c:v>
                </c:pt>
                <c:pt idx="41">
                  <c:v>54</c:v>
                </c:pt>
                <c:pt idx="42">
                  <c:v>55</c:v>
                </c:pt>
                <c:pt idx="43">
                  <c:v>87</c:v>
                </c:pt>
                <c:pt idx="44">
                  <c:v>45</c:v>
                </c:pt>
                <c:pt idx="45">
                  <c:v>66</c:v>
                </c:pt>
                <c:pt idx="46">
                  <c:v>34</c:v>
                </c:pt>
                <c:pt idx="4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5-4BC9-A319-F3C821BBF6EB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Sum of Kisw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Sheet4!$D$2:$D$50</c:f>
              <c:numCache>
                <c:formatCode>General</c:formatCode>
                <c:ptCount val="48"/>
                <c:pt idx="0">
                  <c:v>55</c:v>
                </c:pt>
                <c:pt idx="1">
                  <c:v>80</c:v>
                </c:pt>
                <c:pt idx="2">
                  <c:v>70.52</c:v>
                </c:pt>
                <c:pt idx="3">
                  <c:v>88</c:v>
                </c:pt>
                <c:pt idx="4">
                  <c:v>164</c:v>
                </c:pt>
                <c:pt idx="5">
                  <c:v>77</c:v>
                </c:pt>
                <c:pt idx="6">
                  <c:v>66</c:v>
                </c:pt>
                <c:pt idx="7">
                  <c:v>33</c:v>
                </c:pt>
                <c:pt idx="8">
                  <c:v>22</c:v>
                </c:pt>
                <c:pt idx="9">
                  <c:v>50</c:v>
                </c:pt>
                <c:pt idx="10">
                  <c:v>55</c:v>
                </c:pt>
                <c:pt idx="11">
                  <c:v>177</c:v>
                </c:pt>
                <c:pt idx="12">
                  <c:v>44</c:v>
                </c:pt>
                <c:pt idx="13">
                  <c:v>77</c:v>
                </c:pt>
                <c:pt idx="14">
                  <c:v>44</c:v>
                </c:pt>
                <c:pt idx="15">
                  <c:v>88</c:v>
                </c:pt>
                <c:pt idx="16">
                  <c:v>66</c:v>
                </c:pt>
                <c:pt idx="17">
                  <c:v>144</c:v>
                </c:pt>
                <c:pt idx="18">
                  <c:v>67</c:v>
                </c:pt>
                <c:pt idx="19">
                  <c:v>168</c:v>
                </c:pt>
                <c:pt idx="20">
                  <c:v>175</c:v>
                </c:pt>
                <c:pt idx="21">
                  <c:v>33</c:v>
                </c:pt>
                <c:pt idx="22">
                  <c:v>65</c:v>
                </c:pt>
                <c:pt idx="23">
                  <c:v>77</c:v>
                </c:pt>
                <c:pt idx="24">
                  <c:v>44</c:v>
                </c:pt>
                <c:pt idx="25">
                  <c:v>88</c:v>
                </c:pt>
                <c:pt idx="26">
                  <c:v>77</c:v>
                </c:pt>
                <c:pt idx="27">
                  <c:v>155</c:v>
                </c:pt>
                <c:pt idx="28">
                  <c:v>99</c:v>
                </c:pt>
                <c:pt idx="29">
                  <c:v>76</c:v>
                </c:pt>
                <c:pt idx="30">
                  <c:v>86</c:v>
                </c:pt>
                <c:pt idx="31">
                  <c:v>66</c:v>
                </c:pt>
                <c:pt idx="32">
                  <c:v>22</c:v>
                </c:pt>
                <c:pt idx="33">
                  <c:v>88</c:v>
                </c:pt>
                <c:pt idx="34">
                  <c:v>55</c:v>
                </c:pt>
                <c:pt idx="35">
                  <c:v>99</c:v>
                </c:pt>
                <c:pt idx="36">
                  <c:v>66</c:v>
                </c:pt>
                <c:pt idx="37">
                  <c:v>90</c:v>
                </c:pt>
                <c:pt idx="38">
                  <c:v>66</c:v>
                </c:pt>
                <c:pt idx="39">
                  <c:v>66</c:v>
                </c:pt>
                <c:pt idx="40">
                  <c:v>76</c:v>
                </c:pt>
                <c:pt idx="41">
                  <c:v>44</c:v>
                </c:pt>
                <c:pt idx="42">
                  <c:v>55</c:v>
                </c:pt>
                <c:pt idx="43">
                  <c:v>66</c:v>
                </c:pt>
                <c:pt idx="44">
                  <c:v>99</c:v>
                </c:pt>
                <c:pt idx="45">
                  <c:v>77</c:v>
                </c:pt>
                <c:pt idx="46">
                  <c:v>88</c:v>
                </c:pt>
                <c:pt idx="47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5-4BC9-A319-F3C821BBF6EB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Sum of Sci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Sheet4!$E$2:$E$50</c:f>
              <c:numCache>
                <c:formatCode>General</c:formatCode>
                <c:ptCount val="48"/>
                <c:pt idx="0">
                  <c:v>54</c:v>
                </c:pt>
                <c:pt idx="1">
                  <c:v>76</c:v>
                </c:pt>
                <c:pt idx="2">
                  <c:v>65.42</c:v>
                </c:pt>
                <c:pt idx="3">
                  <c:v>66</c:v>
                </c:pt>
                <c:pt idx="4">
                  <c:v>123</c:v>
                </c:pt>
                <c:pt idx="5">
                  <c:v>56</c:v>
                </c:pt>
                <c:pt idx="6">
                  <c:v>56</c:v>
                </c:pt>
                <c:pt idx="7">
                  <c:v>99</c:v>
                </c:pt>
                <c:pt idx="8">
                  <c:v>88</c:v>
                </c:pt>
                <c:pt idx="9">
                  <c:v>50</c:v>
                </c:pt>
                <c:pt idx="10">
                  <c:v>78</c:v>
                </c:pt>
                <c:pt idx="11">
                  <c:v>99</c:v>
                </c:pt>
                <c:pt idx="12">
                  <c:v>76</c:v>
                </c:pt>
                <c:pt idx="13">
                  <c:v>66</c:v>
                </c:pt>
                <c:pt idx="14">
                  <c:v>55</c:v>
                </c:pt>
                <c:pt idx="15">
                  <c:v>78</c:v>
                </c:pt>
                <c:pt idx="16">
                  <c:v>56</c:v>
                </c:pt>
                <c:pt idx="17">
                  <c:v>132</c:v>
                </c:pt>
                <c:pt idx="18">
                  <c:v>66</c:v>
                </c:pt>
                <c:pt idx="19">
                  <c:v>131</c:v>
                </c:pt>
                <c:pt idx="20">
                  <c:v>78</c:v>
                </c:pt>
                <c:pt idx="21">
                  <c:v>98</c:v>
                </c:pt>
                <c:pt idx="22">
                  <c:v>45</c:v>
                </c:pt>
                <c:pt idx="23">
                  <c:v>65</c:v>
                </c:pt>
                <c:pt idx="24">
                  <c:v>67</c:v>
                </c:pt>
                <c:pt idx="25">
                  <c:v>98</c:v>
                </c:pt>
                <c:pt idx="26">
                  <c:v>77</c:v>
                </c:pt>
                <c:pt idx="27">
                  <c:v>132</c:v>
                </c:pt>
                <c:pt idx="28">
                  <c:v>99</c:v>
                </c:pt>
                <c:pt idx="29">
                  <c:v>66</c:v>
                </c:pt>
                <c:pt idx="30">
                  <c:v>54</c:v>
                </c:pt>
                <c:pt idx="31">
                  <c:v>67</c:v>
                </c:pt>
                <c:pt idx="32">
                  <c:v>33</c:v>
                </c:pt>
                <c:pt idx="33">
                  <c:v>77</c:v>
                </c:pt>
                <c:pt idx="34">
                  <c:v>44</c:v>
                </c:pt>
                <c:pt idx="35">
                  <c:v>88</c:v>
                </c:pt>
                <c:pt idx="36">
                  <c:v>34</c:v>
                </c:pt>
                <c:pt idx="37">
                  <c:v>66</c:v>
                </c:pt>
                <c:pt idx="38">
                  <c:v>67</c:v>
                </c:pt>
                <c:pt idx="39">
                  <c:v>67</c:v>
                </c:pt>
                <c:pt idx="40">
                  <c:v>44</c:v>
                </c:pt>
                <c:pt idx="41">
                  <c:v>76</c:v>
                </c:pt>
                <c:pt idx="42">
                  <c:v>54</c:v>
                </c:pt>
                <c:pt idx="43">
                  <c:v>67</c:v>
                </c:pt>
                <c:pt idx="44">
                  <c:v>76</c:v>
                </c:pt>
                <c:pt idx="45">
                  <c:v>54</c:v>
                </c:pt>
                <c:pt idx="46">
                  <c:v>89</c:v>
                </c:pt>
                <c:pt idx="47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75-4BC9-A319-F3C821BBF6EB}"/>
            </c:ext>
          </c:extLst>
        </c:ser>
        <c:ser>
          <c:idx val="4"/>
          <c:order val="4"/>
          <c:tx>
            <c:strRef>
              <c:f>Sheet4!$F$1</c:f>
              <c:strCache>
                <c:ptCount val="1"/>
                <c:pt idx="0">
                  <c:v>Sum of Chem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Sheet4!$F$2:$F$50</c:f>
              <c:numCache>
                <c:formatCode>General</c:formatCode>
                <c:ptCount val="48"/>
                <c:pt idx="0">
                  <c:v>56</c:v>
                </c:pt>
                <c:pt idx="1">
                  <c:v>43</c:v>
                </c:pt>
                <c:pt idx="2">
                  <c:v>65.3</c:v>
                </c:pt>
                <c:pt idx="3">
                  <c:v>87</c:v>
                </c:pt>
                <c:pt idx="4">
                  <c:v>132</c:v>
                </c:pt>
                <c:pt idx="5">
                  <c:v>87</c:v>
                </c:pt>
                <c:pt idx="6">
                  <c:v>56</c:v>
                </c:pt>
                <c:pt idx="7">
                  <c:v>45</c:v>
                </c:pt>
                <c:pt idx="8">
                  <c:v>56</c:v>
                </c:pt>
                <c:pt idx="9">
                  <c:v>50</c:v>
                </c:pt>
                <c:pt idx="10">
                  <c:v>45</c:v>
                </c:pt>
                <c:pt idx="11">
                  <c:v>152</c:v>
                </c:pt>
                <c:pt idx="12">
                  <c:v>34</c:v>
                </c:pt>
                <c:pt idx="13">
                  <c:v>98</c:v>
                </c:pt>
                <c:pt idx="14">
                  <c:v>67</c:v>
                </c:pt>
                <c:pt idx="15">
                  <c:v>98</c:v>
                </c:pt>
                <c:pt idx="16">
                  <c:v>77</c:v>
                </c:pt>
                <c:pt idx="17">
                  <c:v>163</c:v>
                </c:pt>
                <c:pt idx="18">
                  <c:v>56</c:v>
                </c:pt>
                <c:pt idx="19">
                  <c:v>141</c:v>
                </c:pt>
                <c:pt idx="20">
                  <c:v>152</c:v>
                </c:pt>
                <c:pt idx="21">
                  <c:v>56</c:v>
                </c:pt>
                <c:pt idx="22">
                  <c:v>34</c:v>
                </c:pt>
                <c:pt idx="23">
                  <c:v>78</c:v>
                </c:pt>
                <c:pt idx="24">
                  <c:v>78</c:v>
                </c:pt>
                <c:pt idx="25">
                  <c:v>65</c:v>
                </c:pt>
                <c:pt idx="26">
                  <c:v>76</c:v>
                </c:pt>
                <c:pt idx="27">
                  <c:v>134</c:v>
                </c:pt>
                <c:pt idx="28">
                  <c:v>98</c:v>
                </c:pt>
                <c:pt idx="29">
                  <c:v>65</c:v>
                </c:pt>
                <c:pt idx="30">
                  <c:v>56</c:v>
                </c:pt>
                <c:pt idx="31">
                  <c:v>54</c:v>
                </c:pt>
                <c:pt idx="32">
                  <c:v>34</c:v>
                </c:pt>
                <c:pt idx="33">
                  <c:v>90</c:v>
                </c:pt>
                <c:pt idx="34">
                  <c:v>44</c:v>
                </c:pt>
                <c:pt idx="35">
                  <c:v>45</c:v>
                </c:pt>
                <c:pt idx="36">
                  <c:v>78</c:v>
                </c:pt>
                <c:pt idx="37">
                  <c:v>76</c:v>
                </c:pt>
                <c:pt idx="38">
                  <c:v>45</c:v>
                </c:pt>
                <c:pt idx="39">
                  <c:v>65</c:v>
                </c:pt>
                <c:pt idx="40">
                  <c:v>66</c:v>
                </c:pt>
                <c:pt idx="41">
                  <c:v>44</c:v>
                </c:pt>
                <c:pt idx="42">
                  <c:v>56</c:v>
                </c:pt>
                <c:pt idx="43">
                  <c:v>56</c:v>
                </c:pt>
                <c:pt idx="44">
                  <c:v>67</c:v>
                </c:pt>
                <c:pt idx="45">
                  <c:v>67</c:v>
                </c:pt>
                <c:pt idx="46">
                  <c:v>67</c:v>
                </c:pt>
                <c:pt idx="4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75-4BC9-A319-F3C821BBF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58894783"/>
        <c:axId val="558867903"/>
      </c:barChart>
      <c:catAx>
        <c:axId val="5588947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58867903"/>
        <c:crosses val="autoZero"/>
        <c:auto val="1"/>
        <c:lblAlgn val="ctr"/>
        <c:lblOffset val="100"/>
        <c:noMultiLvlLbl val="0"/>
      </c:catAx>
      <c:valAx>
        <c:axId val="5588679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5889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[EXCEL.xlsx]Sheet4!PivotTable2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marksubject</a:t>
            </a:r>
            <a:r>
              <a:rPr lang="en-US" baseline="0"/>
              <a:t>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Sum of 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Sheet4!$B$2:$B$50</c:f>
              <c:numCache>
                <c:formatCode>General</c:formatCode>
                <c:ptCount val="48"/>
                <c:pt idx="0">
                  <c:v>45</c:v>
                </c:pt>
                <c:pt idx="1">
                  <c:v>67</c:v>
                </c:pt>
                <c:pt idx="2">
                  <c:v>70.319999999999993</c:v>
                </c:pt>
                <c:pt idx="3">
                  <c:v>67</c:v>
                </c:pt>
                <c:pt idx="4">
                  <c:v>112</c:v>
                </c:pt>
                <c:pt idx="5">
                  <c:v>76</c:v>
                </c:pt>
                <c:pt idx="6">
                  <c:v>90</c:v>
                </c:pt>
                <c:pt idx="7">
                  <c:v>88</c:v>
                </c:pt>
                <c:pt idx="8">
                  <c:v>78</c:v>
                </c:pt>
                <c:pt idx="9">
                  <c:v>50</c:v>
                </c:pt>
                <c:pt idx="10">
                  <c:v>67</c:v>
                </c:pt>
                <c:pt idx="11">
                  <c:v>153</c:v>
                </c:pt>
                <c:pt idx="12">
                  <c:v>23</c:v>
                </c:pt>
                <c:pt idx="13">
                  <c:v>67</c:v>
                </c:pt>
                <c:pt idx="14">
                  <c:v>77</c:v>
                </c:pt>
                <c:pt idx="15">
                  <c:v>87</c:v>
                </c:pt>
                <c:pt idx="16">
                  <c:v>45</c:v>
                </c:pt>
                <c:pt idx="17">
                  <c:v>170</c:v>
                </c:pt>
                <c:pt idx="18">
                  <c:v>45</c:v>
                </c:pt>
                <c:pt idx="19">
                  <c:v>131</c:v>
                </c:pt>
                <c:pt idx="20">
                  <c:v>119</c:v>
                </c:pt>
                <c:pt idx="21">
                  <c:v>44</c:v>
                </c:pt>
                <c:pt idx="22">
                  <c:v>78</c:v>
                </c:pt>
                <c:pt idx="23">
                  <c:v>64</c:v>
                </c:pt>
                <c:pt idx="24">
                  <c:v>56</c:v>
                </c:pt>
                <c:pt idx="25">
                  <c:v>90</c:v>
                </c:pt>
                <c:pt idx="26">
                  <c:v>87</c:v>
                </c:pt>
                <c:pt idx="27">
                  <c:v>155</c:v>
                </c:pt>
                <c:pt idx="28">
                  <c:v>98</c:v>
                </c:pt>
                <c:pt idx="29">
                  <c:v>72.5</c:v>
                </c:pt>
                <c:pt idx="30">
                  <c:v>89</c:v>
                </c:pt>
                <c:pt idx="31">
                  <c:v>73</c:v>
                </c:pt>
                <c:pt idx="32">
                  <c:v>23</c:v>
                </c:pt>
                <c:pt idx="33">
                  <c:v>67</c:v>
                </c:pt>
                <c:pt idx="34">
                  <c:v>89</c:v>
                </c:pt>
                <c:pt idx="35">
                  <c:v>98</c:v>
                </c:pt>
                <c:pt idx="36">
                  <c:v>67</c:v>
                </c:pt>
                <c:pt idx="37">
                  <c:v>89</c:v>
                </c:pt>
                <c:pt idx="38">
                  <c:v>65</c:v>
                </c:pt>
                <c:pt idx="39">
                  <c:v>45</c:v>
                </c:pt>
                <c:pt idx="40">
                  <c:v>56</c:v>
                </c:pt>
                <c:pt idx="41">
                  <c:v>34</c:v>
                </c:pt>
                <c:pt idx="42">
                  <c:v>56</c:v>
                </c:pt>
                <c:pt idx="43">
                  <c:v>88</c:v>
                </c:pt>
                <c:pt idx="44">
                  <c:v>86</c:v>
                </c:pt>
                <c:pt idx="45">
                  <c:v>87</c:v>
                </c:pt>
                <c:pt idx="46">
                  <c:v>88</c:v>
                </c:pt>
                <c:pt idx="47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EF-4759-B9A4-1CF46B73F350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Sum of Eng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Sheet4!$C$2:$C$50</c:f>
              <c:numCache>
                <c:formatCode>General</c:formatCode>
                <c:ptCount val="48"/>
                <c:pt idx="0">
                  <c:v>88</c:v>
                </c:pt>
                <c:pt idx="1">
                  <c:v>66</c:v>
                </c:pt>
                <c:pt idx="2">
                  <c:v>64.12</c:v>
                </c:pt>
                <c:pt idx="3">
                  <c:v>33</c:v>
                </c:pt>
                <c:pt idx="4">
                  <c:v>152</c:v>
                </c:pt>
                <c:pt idx="5">
                  <c:v>90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50</c:v>
                </c:pt>
                <c:pt idx="10">
                  <c:v>54</c:v>
                </c:pt>
                <c:pt idx="11">
                  <c:v>89</c:v>
                </c:pt>
                <c:pt idx="12">
                  <c:v>77</c:v>
                </c:pt>
                <c:pt idx="13">
                  <c:v>56</c:v>
                </c:pt>
                <c:pt idx="14">
                  <c:v>66</c:v>
                </c:pt>
                <c:pt idx="15">
                  <c:v>57</c:v>
                </c:pt>
                <c:pt idx="16">
                  <c:v>64</c:v>
                </c:pt>
                <c:pt idx="17">
                  <c:v>111</c:v>
                </c:pt>
                <c:pt idx="18">
                  <c:v>54</c:v>
                </c:pt>
                <c:pt idx="19">
                  <c:v>153</c:v>
                </c:pt>
                <c:pt idx="20">
                  <c:v>109</c:v>
                </c:pt>
                <c:pt idx="21">
                  <c:v>66</c:v>
                </c:pt>
                <c:pt idx="22">
                  <c:v>87</c:v>
                </c:pt>
                <c:pt idx="23">
                  <c:v>66</c:v>
                </c:pt>
                <c:pt idx="24">
                  <c:v>44</c:v>
                </c:pt>
                <c:pt idx="25">
                  <c:v>55</c:v>
                </c:pt>
                <c:pt idx="26">
                  <c:v>45</c:v>
                </c:pt>
                <c:pt idx="27">
                  <c:v>174</c:v>
                </c:pt>
                <c:pt idx="28">
                  <c:v>99</c:v>
                </c:pt>
                <c:pt idx="29">
                  <c:v>64.5</c:v>
                </c:pt>
                <c:pt idx="30">
                  <c:v>77</c:v>
                </c:pt>
                <c:pt idx="31">
                  <c:v>88</c:v>
                </c:pt>
                <c:pt idx="32">
                  <c:v>33</c:v>
                </c:pt>
                <c:pt idx="33">
                  <c:v>76</c:v>
                </c:pt>
                <c:pt idx="34">
                  <c:v>77</c:v>
                </c:pt>
                <c:pt idx="35">
                  <c:v>44</c:v>
                </c:pt>
                <c:pt idx="36">
                  <c:v>99</c:v>
                </c:pt>
                <c:pt idx="37">
                  <c:v>86</c:v>
                </c:pt>
                <c:pt idx="38">
                  <c:v>55</c:v>
                </c:pt>
                <c:pt idx="39">
                  <c:v>55</c:v>
                </c:pt>
                <c:pt idx="40">
                  <c:v>64</c:v>
                </c:pt>
                <c:pt idx="41">
                  <c:v>54</c:v>
                </c:pt>
                <c:pt idx="42">
                  <c:v>55</c:v>
                </c:pt>
                <c:pt idx="43">
                  <c:v>87</c:v>
                </c:pt>
                <c:pt idx="44">
                  <c:v>45</c:v>
                </c:pt>
                <c:pt idx="45">
                  <c:v>66</c:v>
                </c:pt>
                <c:pt idx="46">
                  <c:v>34</c:v>
                </c:pt>
                <c:pt idx="47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EF-4759-B9A4-1CF46B73F350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Sum of Kisw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Sheet4!$D$2:$D$50</c:f>
              <c:numCache>
                <c:formatCode>General</c:formatCode>
                <c:ptCount val="48"/>
                <c:pt idx="0">
                  <c:v>55</c:v>
                </c:pt>
                <c:pt idx="1">
                  <c:v>80</c:v>
                </c:pt>
                <c:pt idx="2">
                  <c:v>70.52</c:v>
                </c:pt>
                <c:pt idx="3">
                  <c:v>88</c:v>
                </c:pt>
                <c:pt idx="4">
                  <c:v>164</c:v>
                </c:pt>
                <c:pt idx="5">
                  <c:v>77</c:v>
                </c:pt>
                <c:pt idx="6">
                  <c:v>66</c:v>
                </c:pt>
                <c:pt idx="7">
                  <c:v>33</c:v>
                </c:pt>
                <c:pt idx="8">
                  <c:v>22</c:v>
                </c:pt>
                <c:pt idx="9">
                  <c:v>50</c:v>
                </c:pt>
                <c:pt idx="10">
                  <c:v>55</c:v>
                </c:pt>
                <c:pt idx="11">
                  <c:v>177</c:v>
                </c:pt>
                <c:pt idx="12">
                  <c:v>44</c:v>
                </c:pt>
                <c:pt idx="13">
                  <c:v>77</c:v>
                </c:pt>
                <c:pt idx="14">
                  <c:v>44</c:v>
                </c:pt>
                <c:pt idx="15">
                  <c:v>88</c:v>
                </c:pt>
                <c:pt idx="16">
                  <c:v>66</c:v>
                </c:pt>
                <c:pt idx="17">
                  <c:v>144</c:v>
                </c:pt>
                <c:pt idx="18">
                  <c:v>67</c:v>
                </c:pt>
                <c:pt idx="19">
                  <c:v>168</c:v>
                </c:pt>
                <c:pt idx="20">
                  <c:v>175</c:v>
                </c:pt>
                <c:pt idx="21">
                  <c:v>33</c:v>
                </c:pt>
                <c:pt idx="22">
                  <c:v>65</c:v>
                </c:pt>
                <c:pt idx="23">
                  <c:v>77</c:v>
                </c:pt>
                <c:pt idx="24">
                  <c:v>44</c:v>
                </c:pt>
                <c:pt idx="25">
                  <c:v>88</c:v>
                </c:pt>
                <c:pt idx="26">
                  <c:v>77</c:v>
                </c:pt>
                <c:pt idx="27">
                  <c:v>155</c:v>
                </c:pt>
                <c:pt idx="28">
                  <c:v>99</c:v>
                </c:pt>
                <c:pt idx="29">
                  <c:v>76</c:v>
                </c:pt>
                <c:pt idx="30">
                  <c:v>86</c:v>
                </c:pt>
                <c:pt idx="31">
                  <c:v>66</c:v>
                </c:pt>
                <c:pt idx="32">
                  <c:v>22</c:v>
                </c:pt>
                <c:pt idx="33">
                  <c:v>88</c:v>
                </c:pt>
                <c:pt idx="34">
                  <c:v>55</c:v>
                </c:pt>
                <c:pt idx="35">
                  <c:v>99</c:v>
                </c:pt>
                <c:pt idx="36">
                  <c:v>66</c:v>
                </c:pt>
                <c:pt idx="37">
                  <c:v>90</c:v>
                </c:pt>
                <c:pt idx="38">
                  <c:v>66</c:v>
                </c:pt>
                <c:pt idx="39">
                  <c:v>66</c:v>
                </c:pt>
                <c:pt idx="40">
                  <c:v>76</c:v>
                </c:pt>
                <c:pt idx="41">
                  <c:v>44</c:v>
                </c:pt>
                <c:pt idx="42">
                  <c:v>55</c:v>
                </c:pt>
                <c:pt idx="43">
                  <c:v>66</c:v>
                </c:pt>
                <c:pt idx="44">
                  <c:v>99</c:v>
                </c:pt>
                <c:pt idx="45">
                  <c:v>77</c:v>
                </c:pt>
                <c:pt idx="46">
                  <c:v>88</c:v>
                </c:pt>
                <c:pt idx="47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EF-4759-B9A4-1CF46B73F350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Sum of Sci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Sheet4!$E$2:$E$50</c:f>
              <c:numCache>
                <c:formatCode>General</c:formatCode>
                <c:ptCount val="48"/>
                <c:pt idx="0">
                  <c:v>54</c:v>
                </c:pt>
                <c:pt idx="1">
                  <c:v>76</c:v>
                </c:pt>
                <c:pt idx="2">
                  <c:v>65.42</c:v>
                </c:pt>
                <c:pt idx="3">
                  <c:v>66</c:v>
                </c:pt>
                <c:pt idx="4">
                  <c:v>123</c:v>
                </c:pt>
                <c:pt idx="5">
                  <c:v>56</c:v>
                </c:pt>
                <c:pt idx="6">
                  <c:v>56</c:v>
                </c:pt>
                <c:pt idx="7">
                  <c:v>99</c:v>
                </c:pt>
                <c:pt idx="8">
                  <c:v>88</c:v>
                </c:pt>
                <c:pt idx="9">
                  <c:v>50</c:v>
                </c:pt>
                <c:pt idx="10">
                  <c:v>78</c:v>
                </c:pt>
                <c:pt idx="11">
                  <c:v>99</c:v>
                </c:pt>
                <c:pt idx="12">
                  <c:v>76</c:v>
                </c:pt>
                <c:pt idx="13">
                  <c:v>66</c:v>
                </c:pt>
                <c:pt idx="14">
                  <c:v>55</c:v>
                </c:pt>
                <c:pt idx="15">
                  <c:v>78</c:v>
                </c:pt>
                <c:pt idx="16">
                  <c:v>56</c:v>
                </c:pt>
                <c:pt idx="17">
                  <c:v>132</c:v>
                </c:pt>
                <c:pt idx="18">
                  <c:v>66</c:v>
                </c:pt>
                <c:pt idx="19">
                  <c:v>131</c:v>
                </c:pt>
                <c:pt idx="20">
                  <c:v>78</c:v>
                </c:pt>
                <c:pt idx="21">
                  <c:v>98</c:v>
                </c:pt>
                <c:pt idx="22">
                  <c:v>45</c:v>
                </c:pt>
                <c:pt idx="23">
                  <c:v>65</c:v>
                </c:pt>
                <c:pt idx="24">
                  <c:v>67</c:v>
                </c:pt>
                <c:pt idx="25">
                  <c:v>98</c:v>
                </c:pt>
                <c:pt idx="26">
                  <c:v>77</c:v>
                </c:pt>
                <c:pt idx="27">
                  <c:v>132</c:v>
                </c:pt>
                <c:pt idx="28">
                  <c:v>99</c:v>
                </c:pt>
                <c:pt idx="29">
                  <c:v>66</c:v>
                </c:pt>
                <c:pt idx="30">
                  <c:v>54</c:v>
                </c:pt>
                <c:pt idx="31">
                  <c:v>67</c:v>
                </c:pt>
                <c:pt idx="32">
                  <c:v>33</c:v>
                </c:pt>
                <c:pt idx="33">
                  <c:v>77</c:v>
                </c:pt>
                <c:pt idx="34">
                  <c:v>44</c:v>
                </c:pt>
                <c:pt idx="35">
                  <c:v>88</c:v>
                </c:pt>
                <c:pt idx="36">
                  <c:v>34</c:v>
                </c:pt>
                <c:pt idx="37">
                  <c:v>66</c:v>
                </c:pt>
                <c:pt idx="38">
                  <c:v>67</c:v>
                </c:pt>
                <c:pt idx="39">
                  <c:v>67</c:v>
                </c:pt>
                <c:pt idx="40">
                  <c:v>44</c:v>
                </c:pt>
                <c:pt idx="41">
                  <c:v>76</c:v>
                </c:pt>
                <c:pt idx="42">
                  <c:v>54</c:v>
                </c:pt>
                <c:pt idx="43">
                  <c:v>67</c:v>
                </c:pt>
                <c:pt idx="44">
                  <c:v>76</c:v>
                </c:pt>
                <c:pt idx="45">
                  <c:v>54</c:v>
                </c:pt>
                <c:pt idx="46">
                  <c:v>89</c:v>
                </c:pt>
                <c:pt idx="47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EF-4759-B9A4-1CF46B73F350}"/>
            </c:ext>
          </c:extLst>
        </c:ser>
        <c:ser>
          <c:idx val="4"/>
          <c:order val="4"/>
          <c:tx>
            <c:strRef>
              <c:f>Sheet4!$F$1</c:f>
              <c:strCache>
                <c:ptCount val="1"/>
                <c:pt idx="0">
                  <c:v>Sum of Chem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Sheet4!$F$2:$F$50</c:f>
              <c:numCache>
                <c:formatCode>General</c:formatCode>
                <c:ptCount val="48"/>
                <c:pt idx="0">
                  <c:v>56</c:v>
                </c:pt>
                <c:pt idx="1">
                  <c:v>43</c:v>
                </c:pt>
                <c:pt idx="2">
                  <c:v>65.3</c:v>
                </c:pt>
                <c:pt idx="3">
                  <c:v>87</c:v>
                </c:pt>
                <c:pt idx="4">
                  <c:v>132</c:v>
                </c:pt>
                <c:pt idx="5">
                  <c:v>87</c:v>
                </c:pt>
                <c:pt idx="6">
                  <c:v>56</c:v>
                </c:pt>
                <c:pt idx="7">
                  <c:v>45</c:v>
                </c:pt>
                <c:pt idx="8">
                  <c:v>56</c:v>
                </c:pt>
                <c:pt idx="9">
                  <c:v>50</c:v>
                </c:pt>
                <c:pt idx="10">
                  <c:v>45</c:v>
                </c:pt>
                <c:pt idx="11">
                  <c:v>152</c:v>
                </c:pt>
                <c:pt idx="12">
                  <c:v>34</c:v>
                </c:pt>
                <c:pt idx="13">
                  <c:v>98</c:v>
                </c:pt>
                <c:pt idx="14">
                  <c:v>67</c:v>
                </c:pt>
                <c:pt idx="15">
                  <c:v>98</c:v>
                </c:pt>
                <c:pt idx="16">
                  <c:v>77</c:v>
                </c:pt>
                <c:pt idx="17">
                  <c:v>163</c:v>
                </c:pt>
                <c:pt idx="18">
                  <c:v>56</c:v>
                </c:pt>
                <c:pt idx="19">
                  <c:v>141</c:v>
                </c:pt>
                <c:pt idx="20">
                  <c:v>152</c:v>
                </c:pt>
                <c:pt idx="21">
                  <c:v>56</c:v>
                </c:pt>
                <c:pt idx="22">
                  <c:v>34</c:v>
                </c:pt>
                <c:pt idx="23">
                  <c:v>78</c:v>
                </c:pt>
                <c:pt idx="24">
                  <c:v>78</c:v>
                </c:pt>
                <c:pt idx="25">
                  <c:v>65</c:v>
                </c:pt>
                <c:pt idx="26">
                  <c:v>76</c:v>
                </c:pt>
                <c:pt idx="27">
                  <c:v>134</c:v>
                </c:pt>
                <c:pt idx="28">
                  <c:v>98</c:v>
                </c:pt>
                <c:pt idx="29">
                  <c:v>65</c:v>
                </c:pt>
                <c:pt idx="30">
                  <c:v>56</c:v>
                </c:pt>
                <c:pt idx="31">
                  <c:v>54</c:v>
                </c:pt>
                <c:pt idx="32">
                  <c:v>34</c:v>
                </c:pt>
                <c:pt idx="33">
                  <c:v>90</c:v>
                </c:pt>
                <c:pt idx="34">
                  <c:v>44</c:v>
                </c:pt>
                <c:pt idx="35">
                  <c:v>45</c:v>
                </c:pt>
                <c:pt idx="36">
                  <c:v>78</c:v>
                </c:pt>
                <c:pt idx="37">
                  <c:v>76</c:v>
                </c:pt>
                <c:pt idx="38">
                  <c:v>45</c:v>
                </c:pt>
                <c:pt idx="39">
                  <c:v>65</c:v>
                </c:pt>
                <c:pt idx="40">
                  <c:v>66</c:v>
                </c:pt>
                <c:pt idx="41">
                  <c:v>44</c:v>
                </c:pt>
                <c:pt idx="42">
                  <c:v>56</c:v>
                </c:pt>
                <c:pt idx="43">
                  <c:v>56</c:v>
                </c:pt>
                <c:pt idx="44">
                  <c:v>67</c:v>
                </c:pt>
                <c:pt idx="45">
                  <c:v>67</c:v>
                </c:pt>
                <c:pt idx="46">
                  <c:v>67</c:v>
                </c:pt>
                <c:pt idx="47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EF-4759-B9A4-1CF46B73F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546175"/>
        <c:axId val="713544255"/>
      </c:lineChart>
      <c:catAx>
        <c:axId val="71354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13544255"/>
        <c:crosses val="autoZero"/>
        <c:auto val="1"/>
        <c:lblAlgn val="ctr"/>
        <c:lblOffset val="100"/>
        <c:noMultiLvlLbl val="0"/>
      </c:catAx>
      <c:valAx>
        <c:axId val="71354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1354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marks distibuted by student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2A-444E-9744-7BDE10BB2A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2A-444E-9744-7BDE10BB2A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2A-444E-9744-7BDE10BB2A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2A-444E-9744-7BDE10BB2A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2A-444E-9744-7BDE10BB2A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2A-444E-9744-7BDE10BB2A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E2A-444E-9744-7BDE10BB2A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E2A-444E-9744-7BDE10BB2A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E2A-444E-9744-7BDE10BB2A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E2A-444E-9744-7BDE10BB2A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E2A-444E-9744-7BDE10BB2A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E2A-444E-9744-7BDE10BB2AD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E2A-444E-9744-7BDE10BB2AD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E2A-444E-9744-7BDE10BB2AD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E2A-444E-9744-7BDE10BB2AD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E2A-444E-9744-7BDE10BB2AD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E2A-444E-9744-7BDE10BB2AD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E2A-444E-9744-7BDE10BB2AD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E2A-444E-9744-7BDE10BB2AD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E2A-444E-9744-7BDE10BB2AD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E2A-444E-9744-7BDE10BB2AD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E2A-444E-9744-7BDE10BB2AD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E2A-444E-9744-7BDE10BB2AD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E2A-444E-9744-7BDE10BB2AD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E2A-444E-9744-7BDE10BB2AD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E2A-444E-9744-7BDE10BB2AD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E2A-444E-9744-7BDE10BB2AD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E2A-444E-9744-7BDE10BB2AD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E2A-444E-9744-7BDE10BB2AD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E2A-444E-9744-7BDE10BB2AD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AE2A-444E-9744-7BDE10BB2AD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AE2A-444E-9744-7BDE10BB2AD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AE2A-444E-9744-7BDE10BB2AD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AE2A-444E-9744-7BDE10BB2AD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AE2A-444E-9744-7BDE10BB2AD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AE2A-444E-9744-7BDE10BB2AD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AE2A-444E-9744-7BDE10BB2AD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AE2A-444E-9744-7BDE10BB2AD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AE2A-444E-9744-7BDE10BB2AD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AE2A-444E-9744-7BDE10BB2AD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AE2A-444E-9744-7BDE10BB2AD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AE2A-444E-9744-7BDE10BB2AD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AE2A-444E-9744-7BDE10BB2AD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AE2A-444E-9744-7BDE10BB2AD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AE2A-444E-9744-7BDE10BB2AD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AE2A-444E-9744-7BDE10BB2AD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AE2A-444E-9744-7BDE10BB2AD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AE2A-444E-9744-7BDE10BB2AD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AE2A-444E-9744-7BDE10BB2AD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AE2A-444E-9744-7BDE10BB2AD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AE2A-444E-9744-7BDE10BB2AD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AE2A-444E-9744-7BDE10BB2AD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AE2A-444E-9744-7BDE10BB2AD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AE2A-444E-9744-7BDE10BB2AD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AE2A-444E-9744-7BDE10BB2AD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AE2A-444E-9744-7BDE10BB2ADE}"/>
              </c:ext>
            </c:extLst>
          </c:dPt>
          <c:cat>
            <c:strRef>
              <c:f>Sheet1!$A$2:$A$56</c:f>
              <c:strCache>
                <c:ptCount val="55"/>
                <c:pt idx="0">
                  <c:v>brian mwangi</c:v>
                </c:pt>
                <c:pt idx="1">
                  <c:v>grace wanjiku</c:v>
                </c:pt>
                <c:pt idx="2">
                  <c:v>john kamau</c:v>
                </c:pt>
                <c:pt idx="3">
                  <c:v>mary njeri</c:v>
                </c:pt>
                <c:pt idx="4">
                  <c:v>peter otieno</c:v>
                </c:pt>
                <c:pt idx="5">
                  <c:v>faith achieng </c:v>
                </c:pt>
                <c:pt idx="6">
                  <c:v>david kiptoo</c:v>
                </c:pt>
                <c:pt idx="7">
                  <c:v>james kariuki</c:v>
                </c:pt>
                <c:pt idx="8">
                  <c:v>ruth otieno</c:v>
                </c:pt>
                <c:pt idx="9">
                  <c:v>esther wambua</c:v>
                </c:pt>
                <c:pt idx="10">
                  <c:v>daniel mutisa</c:v>
                </c:pt>
                <c:pt idx="11">
                  <c:v>samuel kipchoge</c:v>
                </c:pt>
                <c:pt idx="12">
                  <c:v>sharon chebet</c:v>
                </c:pt>
                <c:pt idx="13">
                  <c:v>vivian odhiambo</c:v>
                </c:pt>
                <c:pt idx="14">
                  <c:v>kevin kibet</c:v>
                </c:pt>
                <c:pt idx="15">
                  <c:v>collins musyoka</c:v>
                </c:pt>
                <c:pt idx="16">
                  <c:v>janet muthoni</c:v>
                </c:pt>
                <c:pt idx="17">
                  <c:v>dennis barasa</c:v>
                </c:pt>
                <c:pt idx="18">
                  <c:v>alex kimani</c:v>
                </c:pt>
                <c:pt idx="19">
                  <c:v>partrick muli</c:v>
                </c:pt>
                <c:pt idx="20">
                  <c:v>caroline akoth</c:v>
                </c:pt>
                <c:pt idx="21">
                  <c:v>emanuel kiprono</c:v>
                </c:pt>
                <c:pt idx="22">
                  <c:v>susan wangari</c:v>
                </c:pt>
                <c:pt idx="23">
                  <c:v>victor njoroge </c:v>
                </c:pt>
                <c:pt idx="24">
                  <c:v>diana wambua</c:v>
                </c:pt>
                <c:pt idx="25">
                  <c:v>nancy wanjala</c:v>
                </c:pt>
                <c:pt idx="26">
                  <c:v>stella akinyi</c:v>
                </c:pt>
                <c:pt idx="27">
                  <c:v>francis karanja</c:v>
                </c:pt>
                <c:pt idx="28">
                  <c:v>lydia cherono</c:v>
                </c:pt>
                <c:pt idx="29">
                  <c:v>beatrice wanjiru</c:v>
                </c:pt>
                <c:pt idx="30">
                  <c:v>pamela otieno</c:v>
                </c:pt>
                <c:pt idx="31">
                  <c:v>charles were</c:v>
                </c:pt>
                <c:pt idx="32">
                  <c:v>edwin mutiso</c:v>
                </c:pt>
                <c:pt idx="33">
                  <c:v>oscar kipkemoi</c:v>
                </c:pt>
                <c:pt idx="34">
                  <c:v>caroline wanjiku</c:v>
                </c:pt>
                <c:pt idx="35">
                  <c:v>timothy mwende</c:v>
                </c:pt>
                <c:pt idx="36">
                  <c:v>rebecca chepgeno</c:v>
                </c:pt>
                <c:pt idx="37">
                  <c:v>brian mwangi</c:v>
                </c:pt>
                <c:pt idx="38">
                  <c:v>grace wanjiku</c:v>
                </c:pt>
                <c:pt idx="39">
                  <c:v>david kiptoo</c:v>
                </c:pt>
                <c:pt idx="40">
                  <c:v>james kariuki</c:v>
                </c:pt>
                <c:pt idx="41">
                  <c:v>ruth  opiyo</c:v>
                </c:pt>
                <c:pt idx="42">
                  <c:v>joseph  maina</c:v>
                </c:pt>
                <c:pt idx="43">
                  <c:v>faith achieng </c:v>
                </c:pt>
                <c:pt idx="44">
                  <c:v>michal ochieng</c:v>
                </c:pt>
                <c:pt idx="45">
                  <c:v>vivian odhiambo</c:v>
                </c:pt>
                <c:pt idx="46">
                  <c:v>kevin kiptoo</c:v>
                </c:pt>
                <c:pt idx="47">
                  <c:v>ann wairimu</c:v>
                </c:pt>
                <c:pt idx="48">
                  <c:v>mercy jepkosgei</c:v>
                </c:pt>
                <c:pt idx="49">
                  <c:v>mary njeri</c:v>
                </c:pt>
                <c:pt idx="50">
                  <c:v>Average</c:v>
                </c:pt>
                <c:pt idx="51">
                  <c:v>Max</c:v>
                </c:pt>
                <c:pt idx="52">
                  <c:v>Min</c:v>
                </c:pt>
                <c:pt idx="53">
                  <c:v>count</c:v>
                </c:pt>
                <c:pt idx="54">
                  <c:v>median</c:v>
                </c:pt>
              </c:strCache>
            </c:strRef>
          </c:cat>
          <c:val>
            <c:numRef>
              <c:f>Sheet1!$B$2:$B$56</c:f>
              <c:numCache>
                <c:formatCode>General</c:formatCode>
                <c:ptCount val="55"/>
                <c:pt idx="0">
                  <c:v>56</c:v>
                </c:pt>
                <c:pt idx="1">
                  <c:v>76</c:v>
                </c:pt>
                <c:pt idx="2">
                  <c:v>78</c:v>
                </c:pt>
                <c:pt idx="3">
                  <c:v>67</c:v>
                </c:pt>
                <c:pt idx="4">
                  <c:v>89</c:v>
                </c:pt>
                <c:pt idx="5">
                  <c:v>98</c:v>
                </c:pt>
                <c:pt idx="6">
                  <c:v>98</c:v>
                </c:pt>
                <c:pt idx="7">
                  <c:v>76</c:v>
                </c:pt>
                <c:pt idx="8">
                  <c:v>56</c:v>
                </c:pt>
                <c:pt idx="9">
                  <c:v>45</c:v>
                </c:pt>
                <c:pt idx="10">
                  <c:v>67</c:v>
                </c:pt>
                <c:pt idx="11">
                  <c:v>34</c:v>
                </c:pt>
                <c:pt idx="12">
                  <c:v>56</c:v>
                </c:pt>
                <c:pt idx="13">
                  <c:v>76</c:v>
                </c:pt>
                <c:pt idx="14">
                  <c:v>56</c:v>
                </c:pt>
                <c:pt idx="15">
                  <c:v>78</c:v>
                </c:pt>
                <c:pt idx="16">
                  <c:v>44</c:v>
                </c:pt>
                <c:pt idx="17">
                  <c:v>23</c:v>
                </c:pt>
                <c:pt idx="18">
                  <c:v>45</c:v>
                </c:pt>
                <c:pt idx="19">
                  <c:v>67</c:v>
                </c:pt>
                <c:pt idx="20">
                  <c:v>76</c:v>
                </c:pt>
                <c:pt idx="21">
                  <c:v>87</c:v>
                </c:pt>
                <c:pt idx="22">
                  <c:v>86</c:v>
                </c:pt>
                <c:pt idx="23">
                  <c:v>88</c:v>
                </c:pt>
                <c:pt idx="24">
                  <c:v>67</c:v>
                </c:pt>
                <c:pt idx="25">
                  <c:v>67</c:v>
                </c:pt>
                <c:pt idx="26">
                  <c:v>88</c:v>
                </c:pt>
                <c:pt idx="27">
                  <c:v>45</c:v>
                </c:pt>
                <c:pt idx="28">
                  <c:v>87</c:v>
                </c:pt>
                <c:pt idx="29">
                  <c:v>67</c:v>
                </c:pt>
                <c:pt idx="30">
                  <c:v>98</c:v>
                </c:pt>
                <c:pt idx="31">
                  <c:v>88</c:v>
                </c:pt>
                <c:pt idx="32">
                  <c:v>77</c:v>
                </c:pt>
                <c:pt idx="33">
                  <c:v>89</c:v>
                </c:pt>
                <c:pt idx="34">
                  <c:v>90</c:v>
                </c:pt>
                <c:pt idx="35">
                  <c:v>87</c:v>
                </c:pt>
                <c:pt idx="36">
                  <c:v>65</c:v>
                </c:pt>
                <c:pt idx="37">
                  <c:v>56</c:v>
                </c:pt>
                <c:pt idx="38">
                  <c:v>55</c:v>
                </c:pt>
                <c:pt idx="39">
                  <c:v>55</c:v>
                </c:pt>
                <c:pt idx="40">
                  <c:v>43</c:v>
                </c:pt>
                <c:pt idx="41">
                  <c:v>45</c:v>
                </c:pt>
                <c:pt idx="42">
                  <c:v>64</c:v>
                </c:pt>
                <c:pt idx="43">
                  <c:v>72</c:v>
                </c:pt>
                <c:pt idx="44">
                  <c:v>73</c:v>
                </c:pt>
                <c:pt idx="45">
                  <c:v>82</c:v>
                </c:pt>
                <c:pt idx="46">
                  <c:v>90</c:v>
                </c:pt>
                <c:pt idx="47">
                  <c:v>67</c:v>
                </c:pt>
                <c:pt idx="48">
                  <c:v>89</c:v>
                </c:pt>
                <c:pt idx="49">
                  <c:v>88</c:v>
                </c:pt>
                <c:pt idx="50">
                  <c:v>70.319999999999993</c:v>
                </c:pt>
                <c:pt idx="51">
                  <c:v>98</c:v>
                </c:pt>
                <c:pt idx="52">
                  <c:v>23</c:v>
                </c:pt>
                <c:pt idx="53">
                  <c:v>50</c:v>
                </c:pt>
                <c:pt idx="54">
                  <c:v>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AE2A-444E-9744-7BDE10BB2AD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AE2A-444E-9744-7BDE10BB2A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AE2A-444E-9744-7BDE10BB2A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AE2A-444E-9744-7BDE10BB2A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AE2A-444E-9744-7BDE10BB2A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A-AE2A-444E-9744-7BDE10BB2A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C-AE2A-444E-9744-7BDE10BB2A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E-AE2A-444E-9744-7BDE10BB2A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0-AE2A-444E-9744-7BDE10BB2A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2-AE2A-444E-9744-7BDE10BB2A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4-AE2A-444E-9744-7BDE10BB2A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6-AE2A-444E-9744-7BDE10BB2A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8-AE2A-444E-9744-7BDE10BB2AD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A-AE2A-444E-9744-7BDE10BB2AD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C-AE2A-444E-9744-7BDE10BB2AD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E-AE2A-444E-9744-7BDE10BB2AD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0-AE2A-444E-9744-7BDE10BB2AD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2-AE2A-444E-9744-7BDE10BB2AD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4-AE2A-444E-9744-7BDE10BB2AD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6-AE2A-444E-9744-7BDE10BB2AD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8-AE2A-444E-9744-7BDE10BB2AD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A-AE2A-444E-9744-7BDE10BB2AD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C-AE2A-444E-9744-7BDE10BB2AD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E-AE2A-444E-9744-7BDE10BB2AD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0-AE2A-444E-9744-7BDE10BB2AD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2-AE2A-444E-9744-7BDE10BB2AD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4-AE2A-444E-9744-7BDE10BB2AD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6-AE2A-444E-9744-7BDE10BB2AD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8-AE2A-444E-9744-7BDE10BB2AD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A-AE2A-444E-9744-7BDE10BB2AD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C-AE2A-444E-9744-7BDE10BB2AD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E-AE2A-444E-9744-7BDE10BB2AD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0-AE2A-444E-9744-7BDE10BB2AD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2-AE2A-444E-9744-7BDE10BB2AD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4-AE2A-444E-9744-7BDE10BB2AD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6-AE2A-444E-9744-7BDE10BB2AD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8-AE2A-444E-9744-7BDE10BB2AD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A-AE2A-444E-9744-7BDE10BB2AD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C-AE2A-444E-9744-7BDE10BB2AD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E-AE2A-444E-9744-7BDE10BB2AD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0-AE2A-444E-9744-7BDE10BB2AD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2-AE2A-444E-9744-7BDE10BB2AD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4-AE2A-444E-9744-7BDE10BB2AD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6-AE2A-444E-9744-7BDE10BB2AD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8-AE2A-444E-9744-7BDE10BB2AD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A-AE2A-444E-9744-7BDE10BB2AD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C-AE2A-444E-9744-7BDE10BB2AD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E-AE2A-444E-9744-7BDE10BB2AD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0-AE2A-444E-9744-7BDE10BB2AD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2-AE2A-444E-9744-7BDE10BB2AD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4-AE2A-444E-9744-7BDE10BB2AD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6-AE2A-444E-9744-7BDE10BB2AD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8-AE2A-444E-9744-7BDE10BB2AD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A-AE2A-444E-9744-7BDE10BB2AD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C-AE2A-444E-9744-7BDE10BB2AD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E-AE2A-444E-9744-7BDE10BB2AD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0-AE2A-444E-9744-7BDE10BB2ADE}"/>
              </c:ext>
            </c:extLst>
          </c:dPt>
          <c:cat>
            <c:strRef>
              <c:f>Sheet1!$A$2:$A$56</c:f>
              <c:strCache>
                <c:ptCount val="55"/>
                <c:pt idx="0">
                  <c:v>brian mwangi</c:v>
                </c:pt>
                <c:pt idx="1">
                  <c:v>grace wanjiku</c:v>
                </c:pt>
                <c:pt idx="2">
                  <c:v>john kamau</c:v>
                </c:pt>
                <c:pt idx="3">
                  <c:v>mary njeri</c:v>
                </c:pt>
                <c:pt idx="4">
                  <c:v>peter otieno</c:v>
                </c:pt>
                <c:pt idx="5">
                  <c:v>faith achieng </c:v>
                </c:pt>
                <c:pt idx="6">
                  <c:v>david kiptoo</c:v>
                </c:pt>
                <c:pt idx="7">
                  <c:v>james kariuki</c:v>
                </c:pt>
                <c:pt idx="8">
                  <c:v>ruth otieno</c:v>
                </c:pt>
                <c:pt idx="9">
                  <c:v>esther wambua</c:v>
                </c:pt>
                <c:pt idx="10">
                  <c:v>daniel mutisa</c:v>
                </c:pt>
                <c:pt idx="11">
                  <c:v>samuel kipchoge</c:v>
                </c:pt>
                <c:pt idx="12">
                  <c:v>sharon chebet</c:v>
                </c:pt>
                <c:pt idx="13">
                  <c:v>vivian odhiambo</c:v>
                </c:pt>
                <c:pt idx="14">
                  <c:v>kevin kibet</c:v>
                </c:pt>
                <c:pt idx="15">
                  <c:v>collins musyoka</c:v>
                </c:pt>
                <c:pt idx="16">
                  <c:v>janet muthoni</c:v>
                </c:pt>
                <c:pt idx="17">
                  <c:v>dennis barasa</c:v>
                </c:pt>
                <c:pt idx="18">
                  <c:v>alex kimani</c:v>
                </c:pt>
                <c:pt idx="19">
                  <c:v>partrick muli</c:v>
                </c:pt>
                <c:pt idx="20">
                  <c:v>caroline akoth</c:v>
                </c:pt>
                <c:pt idx="21">
                  <c:v>emanuel kiprono</c:v>
                </c:pt>
                <c:pt idx="22">
                  <c:v>susan wangari</c:v>
                </c:pt>
                <c:pt idx="23">
                  <c:v>victor njoroge </c:v>
                </c:pt>
                <c:pt idx="24">
                  <c:v>diana wambua</c:v>
                </c:pt>
                <c:pt idx="25">
                  <c:v>nancy wanjala</c:v>
                </c:pt>
                <c:pt idx="26">
                  <c:v>stella akinyi</c:v>
                </c:pt>
                <c:pt idx="27">
                  <c:v>francis karanja</c:v>
                </c:pt>
                <c:pt idx="28">
                  <c:v>lydia cherono</c:v>
                </c:pt>
                <c:pt idx="29">
                  <c:v>beatrice wanjiru</c:v>
                </c:pt>
                <c:pt idx="30">
                  <c:v>pamela otieno</c:v>
                </c:pt>
                <c:pt idx="31">
                  <c:v>charles were</c:v>
                </c:pt>
                <c:pt idx="32">
                  <c:v>edwin mutiso</c:v>
                </c:pt>
                <c:pt idx="33">
                  <c:v>oscar kipkemoi</c:v>
                </c:pt>
                <c:pt idx="34">
                  <c:v>caroline wanjiku</c:v>
                </c:pt>
                <c:pt idx="35">
                  <c:v>timothy mwende</c:v>
                </c:pt>
                <c:pt idx="36">
                  <c:v>rebecca chepgeno</c:v>
                </c:pt>
                <c:pt idx="37">
                  <c:v>brian mwangi</c:v>
                </c:pt>
                <c:pt idx="38">
                  <c:v>grace wanjiku</c:v>
                </c:pt>
                <c:pt idx="39">
                  <c:v>david kiptoo</c:v>
                </c:pt>
                <c:pt idx="40">
                  <c:v>james kariuki</c:v>
                </c:pt>
                <c:pt idx="41">
                  <c:v>ruth  opiyo</c:v>
                </c:pt>
                <c:pt idx="42">
                  <c:v>joseph  maina</c:v>
                </c:pt>
                <c:pt idx="43">
                  <c:v>faith achieng </c:v>
                </c:pt>
                <c:pt idx="44">
                  <c:v>michal ochieng</c:v>
                </c:pt>
                <c:pt idx="45">
                  <c:v>vivian odhiambo</c:v>
                </c:pt>
                <c:pt idx="46">
                  <c:v>kevin kiptoo</c:v>
                </c:pt>
                <c:pt idx="47">
                  <c:v>ann wairimu</c:v>
                </c:pt>
                <c:pt idx="48">
                  <c:v>mercy jepkosgei</c:v>
                </c:pt>
                <c:pt idx="49">
                  <c:v>mary njeri</c:v>
                </c:pt>
                <c:pt idx="50">
                  <c:v>Average</c:v>
                </c:pt>
                <c:pt idx="51">
                  <c:v>Max</c:v>
                </c:pt>
                <c:pt idx="52">
                  <c:v>Min</c:v>
                </c:pt>
                <c:pt idx="53">
                  <c:v>count</c:v>
                </c:pt>
                <c:pt idx="54">
                  <c:v>median</c:v>
                </c:pt>
              </c:strCache>
            </c:strRef>
          </c:cat>
          <c:val>
            <c:numRef>
              <c:f>Sheet1!$C$2:$C$56</c:f>
              <c:numCache>
                <c:formatCode>General</c:formatCode>
                <c:ptCount val="55"/>
                <c:pt idx="0">
                  <c:v>86</c:v>
                </c:pt>
                <c:pt idx="1">
                  <c:v>76</c:v>
                </c:pt>
                <c:pt idx="2">
                  <c:v>87</c:v>
                </c:pt>
                <c:pt idx="3">
                  <c:v>86</c:v>
                </c:pt>
                <c:pt idx="4">
                  <c:v>86</c:v>
                </c:pt>
                <c:pt idx="5">
                  <c:v>34</c:v>
                </c:pt>
                <c:pt idx="6">
                  <c:v>56</c:v>
                </c:pt>
                <c:pt idx="7">
                  <c:v>65</c:v>
                </c:pt>
                <c:pt idx="8">
                  <c:v>64</c:v>
                </c:pt>
                <c:pt idx="9">
                  <c:v>64</c:v>
                </c:pt>
                <c:pt idx="10">
                  <c:v>54</c:v>
                </c:pt>
                <c:pt idx="11">
                  <c:v>54</c:v>
                </c:pt>
                <c:pt idx="12">
                  <c:v>55</c:v>
                </c:pt>
                <c:pt idx="13">
                  <c:v>33</c:v>
                </c:pt>
                <c:pt idx="14">
                  <c:v>44</c:v>
                </c:pt>
                <c:pt idx="15">
                  <c:v>55</c:v>
                </c:pt>
                <c:pt idx="16">
                  <c:v>66</c:v>
                </c:pt>
                <c:pt idx="17">
                  <c:v>77</c:v>
                </c:pt>
                <c:pt idx="18">
                  <c:v>88</c:v>
                </c:pt>
                <c:pt idx="19">
                  <c:v>99</c:v>
                </c:pt>
                <c:pt idx="20">
                  <c:v>90</c:v>
                </c:pt>
                <c:pt idx="21">
                  <c:v>57</c:v>
                </c:pt>
                <c:pt idx="22">
                  <c:v>45</c:v>
                </c:pt>
                <c:pt idx="23">
                  <c:v>34</c:v>
                </c:pt>
                <c:pt idx="24">
                  <c:v>56</c:v>
                </c:pt>
                <c:pt idx="25">
                  <c:v>76</c:v>
                </c:pt>
                <c:pt idx="26">
                  <c:v>87</c:v>
                </c:pt>
                <c:pt idx="27">
                  <c:v>54</c:v>
                </c:pt>
                <c:pt idx="28">
                  <c:v>45</c:v>
                </c:pt>
                <c:pt idx="29">
                  <c:v>33</c:v>
                </c:pt>
                <c:pt idx="30">
                  <c:v>44</c:v>
                </c:pt>
                <c:pt idx="31">
                  <c:v>55</c:v>
                </c:pt>
                <c:pt idx="32">
                  <c:v>66</c:v>
                </c:pt>
                <c:pt idx="33">
                  <c:v>77</c:v>
                </c:pt>
                <c:pt idx="34">
                  <c:v>55</c:v>
                </c:pt>
                <c:pt idx="35">
                  <c:v>66</c:v>
                </c:pt>
                <c:pt idx="36">
                  <c:v>55</c:v>
                </c:pt>
                <c:pt idx="37">
                  <c:v>66</c:v>
                </c:pt>
                <c:pt idx="38">
                  <c:v>77</c:v>
                </c:pt>
                <c:pt idx="39">
                  <c:v>33</c:v>
                </c:pt>
                <c:pt idx="40">
                  <c:v>44</c:v>
                </c:pt>
                <c:pt idx="41">
                  <c:v>55</c:v>
                </c:pt>
                <c:pt idx="42">
                  <c:v>66</c:v>
                </c:pt>
                <c:pt idx="43">
                  <c:v>77</c:v>
                </c:pt>
                <c:pt idx="44">
                  <c:v>88</c:v>
                </c:pt>
                <c:pt idx="45">
                  <c:v>90</c:v>
                </c:pt>
                <c:pt idx="46">
                  <c:v>55</c:v>
                </c:pt>
                <c:pt idx="47">
                  <c:v>66</c:v>
                </c:pt>
                <c:pt idx="48">
                  <c:v>77</c:v>
                </c:pt>
                <c:pt idx="49">
                  <c:v>88</c:v>
                </c:pt>
                <c:pt idx="50">
                  <c:v>64.12</c:v>
                </c:pt>
                <c:pt idx="51">
                  <c:v>99</c:v>
                </c:pt>
                <c:pt idx="52">
                  <c:v>33</c:v>
                </c:pt>
                <c:pt idx="53">
                  <c:v>50</c:v>
                </c:pt>
                <c:pt idx="54">
                  <c:v>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1-AE2A-444E-9744-7BDE10BB2AD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Kisw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AE2A-444E-9744-7BDE10BB2A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AE2A-444E-9744-7BDE10BB2A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AE2A-444E-9744-7BDE10BB2A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AE2A-444E-9744-7BDE10BB2A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AE2A-444E-9744-7BDE10BB2A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AE2A-444E-9744-7BDE10BB2A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AE2A-444E-9744-7BDE10BB2A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AE2A-444E-9744-7BDE10BB2A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AE2A-444E-9744-7BDE10BB2A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AE2A-444E-9744-7BDE10BB2A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AE2A-444E-9744-7BDE10BB2A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AE2A-444E-9744-7BDE10BB2AD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AE2A-444E-9744-7BDE10BB2AD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AE2A-444E-9744-7BDE10BB2AD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AE2A-444E-9744-7BDE10BB2AD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AE2A-444E-9744-7BDE10BB2AD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AE2A-444E-9744-7BDE10BB2AD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AE2A-444E-9744-7BDE10BB2AD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AE2A-444E-9744-7BDE10BB2AD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AE2A-444E-9744-7BDE10BB2AD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AE2A-444E-9744-7BDE10BB2AD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AE2A-444E-9744-7BDE10BB2AD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AE2A-444E-9744-7BDE10BB2AD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AE2A-444E-9744-7BDE10BB2AD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AE2A-444E-9744-7BDE10BB2AD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AE2A-444E-9744-7BDE10BB2AD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AE2A-444E-9744-7BDE10BB2AD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AE2A-444E-9744-7BDE10BB2AD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AE2A-444E-9744-7BDE10BB2AD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AE2A-444E-9744-7BDE10BB2AD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AE2A-444E-9744-7BDE10BB2AD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AE2A-444E-9744-7BDE10BB2AD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AE2A-444E-9744-7BDE10BB2AD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AE2A-444E-9744-7BDE10BB2AD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AE2A-444E-9744-7BDE10BB2AD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AE2A-444E-9744-7BDE10BB2AD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AE2A-444E-9744-7BDE10BB2AD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AE2A-444E-9744-7BDE10BB2AD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AE2A-444E-9744-7BDE10BB2AD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AE2A-444E-9744-7BDE10BB2AD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AE2A-444E-9744-7BDE10BB2AD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AE2A-444E-9744-7BDE10BB2AD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AE2A-444E-9744-7BDE10BB2AD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AE2A-444E-9744-7BDE10BB2AD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AE2A-444E-9744-7BDE10BB2AD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AE2A-444E-9744-7BDE10BB2AD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AE2A-444E-9744-7BDE10BB2AD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AE2A-444E-9744-7BDE10BB2AD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AE2A-444E-9744-7BDE10BB2AD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AE2A-444E-9744-7BDE10BB2AD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AE2A-444E-9744-7BDE10BB2AD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AE2A-444E-9744-7BDE10BB2AD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AE2A-444E-9744-7BDE10BB2AD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AE2A-444E-9744-7BDE10BB2AD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AE2A-444E-9744-7BDE10BB2AD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AE2A-444E-9744-7BDE10BB2ADE}"/>
              </c:ext>
            </c:extLst>
          </c:dPt>
          <c:cat>
            <c:strRef>
              <c:f>Sheet1!$A$2:$A$56</c:f>
              <c:strCache>
                <c:ptCount val="55"/>
                <c:pt idx="0">
                  <c:v>brian mwangi</c:v>
                </c:pt>
                <c:pt idx="1">
                  <c:v>grace wanjiku</c:v>
                </c:pt>
                <c:pt idx="2">
                  <c:v>john kamau</c:v>
                </c:pt>
                <c:pt idx="3">
                  <c:v>mary njeri</c:v>
                </c:pt>
                <c:pt idx="4">
                  <c:v>peter otieno</c:v>
                </c:pt>
                <c:pt idx="5">
                  <c:v>faith achieng </c:v>
                </c:pt>
                <c:pt idx="6">
                  <c:v>david kiptoo</c:v>
                </c:pt>
                <c:pt idx="7">
                  <c:v>james kariuki</c:v>
                </c:pt>
                <c:pt idx="8">
                  <c:v>ruth otieno</c:v>
                </c:pt>
                <c:pt idx="9">
                  <c:v>esther wambua</c:v>
                </c:pt>
                <c:pt idx="10">
                  <c:v>daniel mutisa</c:v>
                </c:pt>
                <c:pt idx="11">
                  <c:v>samuel kipchoge</c:v>
                </c:pt>
                <c:pt idx="12">
                  <c:v>sharon chebet</c:v>
                </c:pt>
                <c:pt idx="13">
                  <c:v>vivian odhiambo</c:v>
                </c:pt>
                <c:pt idx="14">
                  <c:v>kevin kibet</c:v>
                </c:pt>
                <c:pt idx="15">
                  <c:v>collins musyoka</c:v>
                </c:pt>
                <c:pt idx="16">
                  <c:v>janet muthoni</c:v>
                </c:pt>
                <c:pt idx="17">
                  <c:v>dennis barasa</c:v>
                </c:pt>
                <c:pt idx="18">
                  <c:v>alex kimani</c:v>
                </c:pt>
                <c:pt idx="19">
                  <c:v>partrick muli</c:v>
                </c:pt>
                <c:pt idx="20">
                  <c:v>caroline akoth</c:v>
                </c:pt>
                <c:pt idx="21">
                  <c:v>emanuel kiprono</c:v>
                </c:pt>
                <c:pt idx="22">
                  <c:v>susan wangari</c:v>
                </c:pt>
                <c:pt idx="23">
                  <c:v>victor njoroge </c:v>
                </c:pt>
                <c:pt idx="24">
                  <c:v>diana wambua</c:v>
                </c:pt>
                <c:pt idx="25">
                  <c:v>nancy wanjala</c:v>
                </c:pt>
                <c:pt idx="26">
                  <c:v>stella akinyi</c:v>
                </c:pt>
                <c:pt idx="27">
                  <c:v>francis karanja</c:v>
                </c:pt>
                <c:pt idx="28">
                  <c:v>lydia cherono</c:v>
                </c:pt>
                <c:pt idx="29">
                  <c:v>beatrice wanjiru</c:v>
                </c:pt>
                <c:pt idx="30">
                  <c:v>pamela otieno</c:v>
                </c:pt>
                <c:pt idx="31">
                  <c:v>charles were</c:v>
                </c:pt>
                <c:pt idx="32">
                  <c:v>edwin mutiso</c:v>
                </c:pt>
                <c:pt idx="33">
                  <c:v>oscar kipkemoi</c:v>
                </c:pt>
                <c:pt idx="34">
                  <c:v>caroline wanjiku</c:v>
                </c:pt>
                <c:pt idx="35">
                  <c:v>timothy mwende</c:v>
                </c:pt>
                <c:pt idx="36">
                  <c:v>rebecca chepgeno</c:v>
                </c:pt>
                <c:pt idx="37">
                  <c:v>brian mwangi</c:v>
                </c:pt>
                <c:pt idx="38">
                  <c:v>grace wanjiku</c:v>
                </c:pt>
                <c:pt idx="39">
                  <c:v>david kiptoo</c:v>
                </c:pt>
                <c:pt idx="40">
                  <c:v>james kariuki</c:v>
                </c:pt>
                <c:pt idx="41">
                  <c:v>ruth  opiyo</c:v>
                </c:pt>
                <c:pt idx="42">
                  <c:v>joseph  maina</c:v>
                </c:pt>
                <c:pt idx="43">
                  <c:v>faith achieng </c:v>
                </c:pt>
                <c:pt idx="44">
                  <c:v>michal ochieng</c:v>
                </c:pt>
                <c:pt idx="45">
                  <c:v>vivian odhiambo</c:v>
                </c:pt>
                <c:pt idx="46">
                  <c:v>kevin kiptoo</c:v>
                </c:pt>
                <c:pt idx="47">
                  <c:v>ann wairimu</c:v>
                </c:pt>
                <c:pt idx="48">
                  <c:v>mercy jepkosgei</c:v>
                </c:pt>
                <c:pt idx="49">
                  <c:v>mary njeri</c:v>
                </c:pt>
                <c:pt idx="50">
                  <c:v>Average</c:v>
                </c:pt>
                <c:pt idx="51">
                  <c:v>Max</c:v>
                </c:pt>
                <c:pt idx="52">
                  <c:v>Min</c:v>
                </c:pt>
                <c:pt idx="53">
                  <c:v>count</c:v>
                </c:pt>
                <c:pt idx="54">
                  <c:v>median</c:v>
                </c:pt>
              </c:strCache>
            </c:strRef>
          </c:cat>
          <c:val>
            <c:numRef>
              <c:f>Sheet1!$D$2:$D$56</c:f>
              <c:numCache>
                <c:formatCode>General</c:formatCode>
                <c:ptCount val="55"/>
                <c:pt idx="0">
                  <c:v>76</c:v>
                </c:pt>
                <c:pt idx="1">
                  <c:v>69</c:v>
                </c:pt>
                <c:pt idx="2">
                  <c:v>65</c:v>
                </c:pt>
                <c:pt idx="3">
                  <c:v>67</c:v>
                </c:pt>
                <c:pt idx="4">
                  <c:v>90</c:v>
                </c:pt>
                <c:pt idx="5">
                  <c:v>56</c:v>
                </c:pt>
                <c:pt idx="6">
                  <c:v>78</c:v>
                </c:pt>
                <c:pt idx="7">
                  <c:v>98</c:v>
                </c:pt>
                <c:pt idx="8">
                  <c:v>76</c:v>
                </c:pt>
                <c:pt idx="9">
                  <c:v>66</c:v>
                </c:pt>
                <c:pt idx="10">
                  <c:v>55</c:v>
                </c:pt>
                <c:pt idx="11">
                  <c:v>44</c:v>
                </c:pt>
                <c:pt idx="12">
                  <c:v>55</c:v>
                </c:pt>
                <c:pt idx="13">
                  <c:v>33</c:v>
                </c:pt>
                <c:pt idx="14">
                  <c:v>44</c:v>
                </c:pt>
                <c:pt idx="15">
                  <c:v>22</c:v>
                </c:pt>
                <c:pt idx="16">
                  <c:v>33</c:v>
                </c:pt>
                <c:pt idx="17">
                  <c:v>44</c:v>
                </c:pt>
                <c:pt idx="18">
                  <c:v>55</c:v>
                </c:pt>
                <c:pt idx="19">
                  <c:v>66</c:v>
                </c:pt>
                <c:pt idx="20">
                  <c:v>77</c:v>
                </c:pt>
                <c:pt idx="21">
                  <c:v>88</c:v>
                </c:pt>
                <c:pt idx="22">
                  <c:v>99</c:v>
                </c:pt>
                <c:pt idx="23">
                  <c:v>88</c:v>
                </c:pt>
                <c:pt idx="24">
                  <c:v>77</c:v>
                </c:pt>
                <c:pt idx="25">
                  <c:v>88</c:v>
                </c:pt>
                <c:pt idx="26">
                  <c:v>66</c:v>
                </c:pt>
                <c:pt idx="27">
                  <c:v>67</c:v>
                </c:pt>
                <c:pt idx="28">
                  <c:v>77</c:v>
                </c:pt>
                <c:pt idx="29">
                  <c:v>88</c:v>
                </c:pt>
                <c:pt idx="30">
                  <c:v>99</c:v>
                </c:pt>
                <c:pt idx="31">
                  <c:v>33</c:v>
                </c:pt>
                <c:pt idx="32">
                  <c:v>44</c:v>
                </c:pt>
                <c:pt idx="33">
                  <c:v>55</c:v>
                </c:pt>
                <c:pt idx="34">
                  <c:v>66</c:v>
                </c:pt>
                <c:pt idx="35">
                  <c:v>77</c:v>
                </c:pt>
                <c:pt idx="36">
                  <c:v>66</c:v>
                </c:pt>
                <c:pt idx="37">
                  <c:v>88</c:v>
                </c:pt>
                <c:pt idx="38">
                  <c:v>99</c:v>
                </c:pt>
                <c:pt idx="39">
                  <c:v>99</c:v>
                </c:pt>
                <c:pt idx="40">
                  <c:v>77</c:v>
                </c:pt>
                <c:pt idx="41">
                  <c:v>66</c:v>
                </c:pt>
                <c:pt idx="42">
                  <c:v>77</c:v>
                </c:pt>
                <c:pt idx="43">
                  <c:v>88</c:v>
                </c:pt>
                <c:pt idx="44">
                  <c:v>66</c:v>
                </c:pt>
                <c:pt idx="45">
                  <c:v>77</c:v>
                </c:pt>
                <c:pt idx="46">
                  <c:v>88</c:v>
                </c:pt>
                <c:pt idx="47">
                  <c:v>80</c:v>
                </c:pt>
                <c:pt idx="48">
                  <c:v>86</c:v>
                </c:pt>
                <c:pt idx="49">
                  <c:v>88</c:v>
                </c:pt>
                <c:pt idx="50">
                  <c:v>70.52</c:v>
                </c:pt>
                <c:pt idx="51">
                  <c:v>99</c:v>
                </c:pt>
                <c:pt idx="52">
                  <c:v>22</c:v>
                </c:pt>
                <c:pt idx="53">
                  <c:v>50</c:v>
                </c:pt>
                <c:pt idx="5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2-AE2A-444E-9744-7BDE10BB2AD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Sci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4-AE2A-444E-9744-7BDE10BB2A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6-AE2A-444E-9744-7BDE10BB2A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8-AE2A-444E-9744-7BDE10BB2A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A-AE2A-444E-9744-7BDE10BB2A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C-AE2A-444E-9744-7BDE10BB2A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E-AE2A-444E-9744-7BDE10BB2A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0-AE2A-444E-9744-7BDE10BB2A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2-AE2A-444E-9744-7BDE10BB2A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4-AE2A-444E-9744-7BDE10BB2A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6-AE2A-444E-9744-7BDE10BB2A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8-AE2A-444E-9744-7BDE10BB2A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A-AE2A-444E-9744-7BDE10BB2AD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C-AE2A-444E-9744-7BDE10BB2AD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E-AE2A-444E-9744-7BDE10BB2AD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0-AE2A-444E-9744-7BDE10BB2AD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2-AE2A-444E-9744-7BDE10BB2AD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4-AE2A-444E-9744-7BDE10BB2AD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6-AE2A-444E-9744-7BDE10BB2AD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8-AE2A-444E-9744-7BDE10BB2AD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A-AE2A-444E-9744-7BDE10BB2AD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C-AE2A-444E-9744-7BDE10BB2AD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E-AE2A-444E-9744-7BDE10BB2AD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0-AE2A-444E-9744-7BDE10BB2AD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2-AE2A-444E-9744-7BDE10BB2AD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4-AE2A-444E-9744-7BDE10BB2AD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6-AE2A-444E-9744-7BDE10BB2AD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8-AE2A-444E-9744-7BDE10BB2AD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A-AE2A-444E-9744-7BDE10BB2AD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C-AE2A-444E-9744-7BDE10BB2AD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E-AE2A-444E-9744-7BDE10BB2AD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0-AE2A-444E-9744-7BDE10BB2AD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2-AE2A-444E-9744-7BDE10BB2AD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4-AE2A-444E-9744-7BDE10BB2AD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6-AE2A-444E-9744-7BDE10BB2AD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8-AE2A-444E-9744-7BDE10BB2AD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A-AE2A-444E-9744-7BDE10BB2AD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C-AE2A-444E-9744-7BDE10BB2AD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E-AE2A-444E-9744-7BDE10BB2AD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0-AE2A-444E-9744-7BDE10BB2AD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2-AE2A-444E-9744-7BDE10BB2AD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4-AE2A-444E-9744-7BDE10BB2AD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6-AE2A-444E-9744-7BDE10BB2AD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8-AE2A-444E-9744-7BDE10BB2AD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A-AE2A-444E-9744-7BDE10BB2AD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C-AE2A-444E-9744-7BDE10BB2AD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E-AE2A-444E-9744-7BDE10BB2AD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0-AE2A-444E-9744-7BDE10BB2AD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2-AE2A-444E-9744-7BDE10BB2AD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4-AE2A-444E-9744-7BDE10BB2AD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6-AE2A-444E-9744-7BDE10BB2AD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8-AE2A-444E-9744-7BDE10BB2AD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A-AE2A-444E-9744-7BDE10BB2AD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C-AE2A-444E-9744-7BDE10BB2AD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E-AE2A-444E-9744-7BDE10BB2AD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0-AE2A-444E-9744-7BDE10BB2AD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2-AE2A-444E-9744-7BDE10BB2ADE}"/>
              </c:ext>
            </c:extLst>
          </c:dPt>
          <c:cat>
            <c:strRef>
              <c:f>Sheet1!$A$2:$A$56</c:f>
              <c:strCache>
                <c:ptCount val="55"/>
                <c:pt idx="0">
                  <c:v>brian mwangi</c:v>
                </c:pt>
                <c:pt idx="1">
                  <c:v>grace wanjiku</c:v>
                </c:pt>
                <c:pt idx="2">
                  <c:v>john kamau</c:v>
                </c:pt>
                <c:pt idx="3">
                  <c:v>mary njeri</c:v>
                </c:pt>
                <c:pt idx="4">
                  <c:v>peter otieno</c:v>
                </c:pt>
                <c:pt idx="5">
                  <c:v>faith achieng </c:v>
                </c:pt>
                <c:pt idx="6">
                  <c:v>david kiptoo</c:v>
                </c:pt>
                <c:pt idx="7">
                  <c:v>james kariuki</c:v>
                </c:pt>
                <c:pt idx="8">
                  <c:v>ruth otieno</c:v>
                </c:pt>
                <c:pt idx="9">
                  <c:v>esther wambua</c:v>
                </c:pt>
                <c:pt idx="10">
                  <c:v>daniel mutisa</c:v>
                </c:pt>
                <c:pt idx="11">
                  <c:v>samuel kipchoge</c:v>
                </c:pt>
                <c:pt idx="12">
                  <c:v>sharon chebet</c:v>
                </c:pt>
                <c:pt idx="13">
                  <c:v>vivian odhiambo</c:v>
                </c:pt>
                <c:pt idx="14">
                  <c:v>kevin kibet</c:v>
                </c:pt>
                <c:pt idx="15">
                  <c:v>collins musyoka</c:v>
                </c:pt>
                <c:pt idx="16">
                  <c:v>janet muthoni</c:v>
                </c:pt>
                <c:pt idx="17">
                  <c:v>dennis barasa</c:v>
                </c:pt>
                <c:pt idx="18">
                  <c:v>alex kimani</c:v>
                </c:pt>
                <c:pt idx="19">
                  <c:v>partrick muli</c:v>
                </c:pt>
                <c:pt idx="20">
                  <c:v>caroline akoth</c:v>
                </c:pt>
                <c:pt idx="21">
                  <c:v>emanuel kiprono</c:v>
                </c:pt>
                <c:pt idx="22">
                  <c:v>susan wangari</c:v>
                </c:pt>
                <c:pt idx="23">
                  <c:v>victor njoroge </c:v>
                </c:pt>
                <c:pt idx="24">
                  <c:v>diana wambua</c:v>
                </c:pt>
                <c:pt idx="25">
                  <c:v>nancy wanjala</c:v>
                </c:pt>
                <c:pt idx="26">
                  <c:v>stella akinyi</c:v>
                </c:pt>
                <c:pt idx="27">
                  <c:v>francis karanja</c:v>
                </c:pt>
                <c:pt idx="28">
                  <c:v>lydia cherono</c:v>
                </c:pt>
                <c:pt idx="29">
                  <c:v>beatrice wanjiru</c:v>
                </c:pt>
                <c:pt idx="30">
                  <c:v>pamela otieno</c:v>
                </c:pt>
                <c:pt idx="31">
                  <c:v>charles were</c:v>
                </c:pt>
                <c:pt idx="32">
                  <c:v>edwin mutiso</c:v>
                </c:pt>
                <c:pt idx="33">
                  <c:v>oscar kipkemoi</c:v>
                </c:pt>
                <c:pt idx="34">
                  <c:v>caroline wanjiku</c:v>
                </c:pt>
                <c:pt idx="35">
                  <c:v>timothy mwende</c:v>
                </c:pt>
                <c:pt idx="36">
                  <c:v>rebecca chepgeno</c:v>
                </c:pt>
                <c:pt idx="37">
                  <c:v>brian mwangi</c:v>
                </c:pt>
                <c:pt idx="38">
                  <c:v>grace wanjiku</c:v>
                </c:pt>
                <c:pt idx="39">
                  <c:v>david kiptoo</c:v>
                </c:pt>
                <c:pt idx="40">
                  <c:v>james kariuki</c:v>
                </c:pt>
                <c:pt idx="41">
                  <c:v>ruth  opiyo</c:v>
                </c:pt>
                <c:pt idx="42">
                  <c:v>joseph  maina</c:v>
                </c:pt>
                <c:pt idx="43">
                  <c:v>faith achieng </c:v>
                </c:pt>
                <c:pt idx="44">
                  <c:v>michal ochieng</c:v>
                </c:pt>
                <c:pt idx="45">
                  <c:v>vivian odhiambo</c:v>
                </c:pt>
                <c:pt idx="46">
                  <c:v>kevin kiptoo</c:v>
                </c:pt>
                <c:pt idx="47">
                  <c:v>ann wairimu</c:v>
                </c:pt>
                <c:pt idx="48">
                  <c:v>mercy jepkosgei</c:v>
                </c:pt>
                <c:pt idx="49">
                  <c:v>mary njeri</c:v>
                </c:pt>
                <c:pt idx="50">
                  <c:v>Average</c:v>
                </c:pt>
                <c:pt idx="51">
                  <c:v>Max</c:v>
                </c:pt>
                <c:pt idx="52">
                  <c:v>Min</c:v>
                </c:pt>
                <c:pt idx="53">
                  <c:v>count</c:v>
                </c:pt>
                <c:pt idx="54">
                  <c:v>median</c:v>
                </c:pt>
              </c:strCache>
            </c:strRef>
          </c:cat>
          <c:val>
            <c:numRef>
              <c:f>Sheet1!$E$2:$E$56</c:f>
              <c:numCache>
                <c:formatCode>General</c:formatCode>
                <c:ptCount val="55"/>
                <c:pt idx="0">
                  <c:v>67</c:v>
                </c:pt>
                <c:pt idx="1">
                  <c:v>53</c:v>
                </c:pt>
                <c:pt idx="2">
                  <c:v>45</c:v>
                </c:pt>
                <c:pt idx="3">
                  <c:v>67</c:v>
                </c:pt>
                <c:pt idx="4">
                  <c:v>66</c:v>
                </c:pt>
                <c:pt idx="5">
                  <c:v>54</c:v>
                </c:pt>
                <c:pt idx="6">
                  <c:v>34</c:v>
                </c:pt>
                <c:pt idx="7">
                  <c:v>33</c:v>
                </c:pt>
                <c:pt idx="8">
                  <c:v>44</c:v>
                </c:pt>
                <c:pt idx="9">
                  <c:v>56</c:v>
                </c:pt>
                <c:pt idx="10">
                  <c:v>78</c:v>
                </c:pt>
                <c:pt idx="11">
                  <c:v>76</c:v>
                </c:pt>
                <c:pt idx="12">
                  <c:v>54</c:v>
                </c:pt>
                <c:pt idx="13">
                  <c:v>45</c:v>
                </c:pt>
                <c:pt idx="14">
                  <c:v>67</c:v>
                </c:pt>
                <c:pt idx="15">
                  <c:v>88</c:v>
                </c:pt>
                <c:pt idx="16">
                  <c:v>98</c:v>
                </c:pt>
                <c:pt idx="17">
                  <c:v>76</c:v>
                </c:pt>
                <c:pt idx="18">
                  <c:v>54</c:v>
                </c:pt>
                <c:pt idx="19">
                  <c:v>34</c:v>
                </c:pt>
                <c:pt idx="20">
                  <c:v>56</c:v>
                </c:pt>
                <c:pt idx="21">
                  <c:v>78</c:v>
                </c:pt>
                <c:pt idx="22">
                  <c:v>76</c:v>
                </c:pt>
                <c:pt idx="23">
                  <c:v>89</c:v>
                </c:pt>
                <c:pt idx="24">
                  <c:v>66</c:v>
                </c:pt>
                <c:pt idx="25">
                  <c:v>77</c:v>
                </c:pt>
                <c:pt idx="26">
                  <c:v>67</c:v>
                </c:pt>
                <c:pt idx="27">
                  <c:v>66</c:v>
                </c:pt>
                <c:pt idx="28">
                  <c:v>77</c:v>
                </c:pt>
                <c:pt idx="29">
                  <c:v>66</c:v>
                </c:pt>
                <c:pt idx="30">
                  <c:v>88</c:v>
                </c:pt>
                <c:pt idx="31">
                  <c:v>99</c:v>
                </c:pt>
                <c:pt idx="32">
                  <c:v>55</c:v>
                </c:pt>
                <c:pt idx="33">
                  <c:v>44</c:v>
                </c:pt>
                <c:pt idx="34">
                  <c:v>56</c:v>
                </c:pt>
                <c:pt idx="35">
                  <c:v>54</c:v>
                </c:pt>
                <c:pt idx="36">
                  <c:v>67</c:v>
                </c:pt>
                <c:pt idx="37">
                  <c:v>56</c:v>
                </c:pt>
                <c:pt idx="38">
                  <c:v>78</c:v>
                </c:pt>
                <c:pt idx="39">
                  <c:v>65</c:v>
                </c:pt>
                <c:pt idx="40">
                  <c:v>45</c:v>
                </c:pt>
                <c:pt idx="41">
                  <c:v>67</c:v>
                </c:pt>
                <c:pt idx="42">
                  <c:v>65</c:v>
                </c:pt>
                <c:pt idx="43">
                  <c:v>78</c:v>
                </c:pt>
                <c:pt idx="44">
                  <c:v>67</c:v>
                </c:pt>
                <c:pt idx="45">
                  <c:v>87</c:v>
                </c:pt>
                <c:pt idx="46">
                  <c:v>98</c:v>
                </c:pt>
                <c:pt idx="47">
                  <c:v>76</c:v>
                </c:pt>
                <c:pt idx="48">
                  <c:v>54</c:v>
                </c:pt>
                <c:pt idx="49">
                  <c:v>65</c:v>
                </c:pt>
                <c:pt idx="50">
                  <c:v>65.42</c:v>
                </c:pt>
                <c:pt idx="51">
                  <c:v>99</c:v>
                </c:pt>
                <c:pt idx="52">
                  <c:v>33</c:v>
                </c:pt>
                <c:pt idx="53">
                  <c:v>50</c:v>
                </c:pt>
                <c:pt idx="5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C3-AE2A-444E-9744-7BDE10BB2ADE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Chem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AE2A-444E-9744-7BDE10BB2A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AE2A-444E-9744-7BDE10BB2A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AE2A-444E-9744-7BDE10BB2A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AE2A-444E-9744-7BDE10BB2A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AE2A-444E-9744-7BDE10BB2A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AE2A-444E-9744-7BDE10BB2A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AE2A-444E-9744-7BDE10BB2A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AE2A-444E-9744-7BDE10BB2A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AE2A-444E-9744-7BDE10BB2A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AE2A-444E-9744-7BDE10BB2A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AE2A-444E-9744-7BDE10BB2A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AE2A-444E-9744-7BDE10BB2AD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AE2A-444E-9744-7BDE10BB2AD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AE2A-444E-9744-7BDE10BB2AD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AE2A-444E-9744-7BDE10BB2AD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AE2A-444E-9744-7BDE10BB2AD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AE2A-444E-9744-7BDE10BB2AD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AE2A-444E-9744-7BDE10BB2AD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AE2A-444E-9744-7BDE10BB2AD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AE2A-444E-9744-7BDE10BB2AD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AE2A-444E-9744-7BDE10BB2AD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AE2A-444E-9744-7BDE10BB2AD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AE2A-444E-9744-7BDE10BB2AD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AE2A-444E-9744-7BDE10BB2AD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AE2A-444E-9744-7BDE10BB2AD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AE2A-444E-9744-7BDE10BB2AD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AE2A-444E-9744-7BDE10BB2AD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AE2A-444E-9744-7BDE10BB2AD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AE2A-444E-9744-7BDE10BB2AD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AE2A-444E-9744-7BDE10BB2AD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AE2A-444E-9744-7BDE10BB2AD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AE2A-444E-9744-7BDE10BB2AD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AE2A-444E-9744-7BDE10BB2AD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AE2A-444E-9744-7BDE10BB2AD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AE2A-444E-9744-7BDE10BB2AD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AE2A-444E-9744-7BDE10BB2AD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AE2A-444E-9744-7BDE10BB2AD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AE2A-444E-9744-7BDE10BB2AD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AE2A-444E-9744-7BDE10BB2AD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AE2A-444E-9744-7BDE10BB2AD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AE2A-444E-9744-7BDE10BB2AD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AE2A-444E-9744-7BDE10BB2AD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AE2A-444E-9744-7BDE10BB2AD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AE2A-444E-9744-7BDE10BB2AD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AE2A-444E-9744-7BDE10BB2AD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AE2A-444E-9744-7BDE10BB2AD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AE2A-444E-9744-7BDE10BB2AD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AE2A-444E-9744-7BDE10BB2AD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AE2A-444E-9744-7BDE10BB2AD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AE2A-444E-9744-7BDE10BB2AD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AE2A-444E-9744-7BDE10BB2AD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AE2A-444E-9744-7BDE10BB2AD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AE2A-444E-9744-7BDE10BB2AD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AE2A-444E-9744-7BDE10BB2AD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AE2A-444E-9744-7BDE10BB2AD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AE2A-444E-9744-7BDE10BB2ADE}"/>
              </c:ext>
            </c:extLst>
          </c:dPt>
          <c:cat>
            <c:strRef>
              <c:f>Sheet1!$A$2:$A$56</c:f>
              <c:strCache>
                <c:ptCount val="55"/>
                <c:pt idx="0">
                  <c:v>brian mwangi</c:v>
                </c:pt>
                <c:pt idx="1">
                  <c:v>grace wanjiku</c:v>
                </c:pt>
                <c:pt idx="2">
                  <c:v>john kamau</c:v>
                </c:pt>
                <c:pt idx="3">
                  <c:v>mary njeri</c:v>
                </c:pt>
                <c:pt idx="4">
                  <c:v>peter otieno</c:v>
                </c:pt>
                <c:pt idx="5">
                  <c:v>faith achieng </c:v>
                </c:pt>
                <c:pt idx="6">
                  <c:v>david kiptoo</c:v>
                </c:pt>
                <c:pt idx="7">
                  <c:v>james kariuki</c:v>
                </c:pt>
                <c:pt idx="8">
                  <c:v>ruth otieno</c:v>
                </c:pt>
                <c:pt idx="9">
                  <c:v>esther wambua</c:v>
                </c:pt>
                <c:pt idx="10">
                  <c:v>daniel mutisa</c:v>
                </c:pt>
                <c:pt idx="11">
                  <c:v>samuel kipchoge</c:v>
                </c:pt>
                <c:pt idx="12">
                  <c:v>sharon chebet</c:v>
                </c:pt>
                <c:pt idx="13">
                  <c:v>vivian odhiambo</c:v>
                </c:pt>
                <c:pt idx="14">
                  <c:v>kevin kibet</c:v>
                </c:pt>
                <c:pt idx="15">
                  <c:v>collins musyoka</c:v>
                </c:pt>
                <c:pt idx="16">
                  <c:v>janet muthoni</c:v>
                </c:pt>
                <c:pt idx="17">
                  <c:v>dennis barasa</c:v>
                </c:pt>
                <c:pt idx="18">
                  <c:v>alex kimani</c:v>
                </c:pt>
                <c:pt idx="19">
                  <c:v>partrick muli</c:v>
                </c:pt>
                <c:pt idx="20">
                  <c:v>caroline akoth</c:v>
                </c:pt>
                <c:pt idx="21">
                  <c:v>emanuel kiprono</c:v>
                </c:pt>
                <c:pt idx="22">
                  <c:v>susan wangari</c:v>
                </c:pt>
                <c:pt idx="23">
                  <c:v>victor njoroge </c:v>
                </c:pt>
                <c:pt idx="24">
                  <c:v>diana wambua</c:v>
                </c:pt>
                <c:pt idx="25">
                  <c:v>nancy wanjala</c:v>
                </c:pt>
                <c:pt idx="26">
                  <c:v>stella akinyi</c:v>
                </c:pt>
                <c:pt idx="27">
                  <c:v>francis karanja</c:v>
                </c:pt>
                <c:pt idx="28">
                  <c:v>lydia cherono</c:v>
                </c:pt>
                <c:pt idx="29">
                  <c:v>beatrice wanjiru</c:v>
                </c:pt>
                <c:pt idx="30">
                  <c:v>pamela otieno</c:v>
                </c:pt>
                <c:pt idx="31">
                  <c:v>charles were</c:v>
                </c:pt>
                <c:pt idx="32">
                  <c:v>edwin mutiso</c:v>
                </c:pt>
                <c:pt idx="33">
                  <c:v>oscar kipkemoi</c:v>
                </c:pt>
                <c:pt idx="34">
                  <c:v>caroline wanjiku</c:v>
                </c:pt>
                <c:pt idx="35">
                  <c:v>timothy mwende</c:v>
                </c:pt>
                <c:pt idx="36">
                  <c:v>rebecca chepgeno</c:v>
                </c:pt>
                <c:pt idx="37">
                  <c:v>brian mwangi</c:v>
                </c:pt>
                <c:pt idx="38">
                  <c:v>grace wanjiku</c:v>
                </c:pt>
                <c:pt idx="39">
                  <c:v>david kiptoo</c:v>
                </c:pt>
                <c:pt idx="40">
                  <c:v>james kariuki</c:v>
                </c:pt>
                <c:pt idx="41">
                  <c:v>ruth  opiyo</c:v>
                </c:pt>
                <c:pt idx="42">
                  <c:v>joseph  maina</c:v>
                </c:pt>
                <c:pt idx="43">
                  <c:v>faith achieng </c:v>
                </c:pt>
                <c:pt idx="44">
                  <c:v>michal ochieng</c:v>
                </c:pt>
                <c:pt idx="45">
                  <c:v>vivian odhiambo</c:v>
                </c:pt>
                <c:pt idx="46">
                  <c:v>kevin kiptoo</c:v>
                </c:pt>
                <c:pt idx="47">
                  <c:v>ann wairimu</c:v>
                </c:pt>
                <c:pt idx="48">
                  <c:v>mercy jepkosgei</c:v>
                </c:pt>
                <c:pt idx="49">
                  <c:v>mary njeri</c:v>
                </c:pt>
                <c:pt idx="50">
                  <c:v>Average</c:v>
                </c:pt>
                <c:pt idx="51">
                  <c:v>Max</c:v>
                </c:pt>
                <c:pt idx="52">
                  <c:v>Min</c:v>
                </c:pt>
                <c:pt idx="53">
                  <c:v>count</c:v>
                </c:pt>
                <c:pt idx="54">
                  <c:v>median</c:v>
                </c:pt>
              </c:strCache>
            </c:strRef>
          </c:cat>
          <c:val>
            <c:numRef>
              <c:f>Sheet1!$F$2:$F$56</c:f>
              <c:numCache>
                <c:formatCode>General</c:formatCode>
                <c:ptCount val="55"/>
                <c:pt idx="0">
                  <c:v>65</c:v>
                </c:pt>
                <c:pt idx="1">
                  <c:v>54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87</c:v>
                </c:pt>
                <c:pt idx="6">
                  <c:v>87</c:v>
                </c:pt>
                <c:pt idx="7">
                  <c:v>87</c:v>
                </c:pt>
                <c:pt idx="8">
                  <c:v>66</c:v>
                </c:pt>
                <c:pt idx="9">
                  <c:v>77</c:v>
                </c:pt>
                <c:pt idx="10">
                  <c:v>45</c:v>
                </c:pt>
                <c:pt idx="11">
                  <c:v>44</c:v>
                </c:pt>
                <c:pt idx="12">
                  <c:v>56</c:v>
                </c:pt>
                <c:pt idx="13">
                  <c:v>67</c:v>
                </c:pt>
                <c:pt idx="14">
                  <c:v>78</c:v>
                </c:pt>
                <c:pt idx="15">
                  <c:v>56</c:v>
                </c:pt>
                <c:pt idx="16">
                  <c:v>56</c:v>
                </c:pt>
                <c:pt idx="17">
                  <c:v>34</c:v>
                </c:pt>
                <c:pt idx="18">
                  <c:v>56</c:v>
                </c:pt>
                <c:pt idx="19">
                  <c:v>78</c:v>
                </c:pt>
                <c:pt idx="20">
                  <c:v>87</c:v>
                </c:pt>
                <c:pt idx="21">
                  <c:v>98</c:v>
                </c:pt>
                <c:pt idx="22">
                  <c:v>67</c:v>
                </c:pt>
                <c:pt idx="23">
                  <c:v>67</c:v>
                </c:pt>
                <c:pt idx="24">
                  <c:v>98</c:v>
                </c:pt>
                <c:pt idx="25">
                  <c:v>90</c:v>
                </c:pt>
                <c:pt idx="26">
                  <c:v>56</c:v>
                </c:pt>
                <c:pt idx="27">
                  <c:v>56</c:v>
                </c:pt>
                <c:pt idx="28">
                  <c:v>76</c:v>
                </c:pt>
                <c:pt idx="29">
                  <c:v>87</c:v>
                </c:pt>
                <c:pt idx="30">
                  <c:v>45</c:v>
                </c:pt>
                <c:pt idx="31">
                  <c:v>45</c:v>
                </c:pt>
                <c:pt idx="32">
                  <c:v>67</c:v>
                </c:pt>
                <c:pt idx="33">
                  <c:v>44</c:v>
                </c:pt>
                <c:pt idx="34">
                  <c:v>56</c:v>
                </c:pt>
                <c:pt idx="35">
                  <c:v>67</c:v>
                </c:pt>
                <c:pt idx="36">
                  <c:v>45</c:v>
                </c:pt>
                <c:pt idx="37">
                  <c:v>67</c:v>
                </c:pt>
                <c:pt idx="38">
                  <c:v>87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78</c:v>
                </c:pt>
                <c:pt idx="43">
                  <c:v>76</c:v>
                </c:pt>
                <c:pt idx="44">
                  <c:v>54</c:v>
                </c:pt>
                <c:pt idx="45">
                  <c:v>56</c:v>
                </c:pt>
                <c:pt idx="46">
                  <c:v>65</c:v>
                </c:pt>
                <c:pt idx="47">
                  <c:v>43</c:v>
                </c:pt>
                <c:pt idx="48">
                  <c:v>56</c:v>
                </c:pt>
                <c:pt idx="49">
                  <c:v>78</c:v>
                </c:pt>
                <c:pt idx="50">
                  <c:v>65.3</c:v>
                </c:pt>
                <c:pt idx="51">
                  <c:v>98</c:v>
                </c:pt>
                <c:pt idx="52">
                  <c:v>34</c:v>
                </c:pt>
                <c:pt idx="53">
                  <c:v>50</c:v>
                </c:pt>
                <c:pt idx="5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34-AE2A-444E-9744-7BDE10BB2ADE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Total 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6-AE2A-444E-9744-7BDE10BB2A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8-AE2A-444E-9744-7BDE10BB2A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A-AE2A-444E-9744-7BDE10BB2A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C-AE2A-444E-9744-7BDE10BB2A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E-AE2A-444E-9744-7BDE10BB2A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0-AE2A-444E-9744-7BDE10BB2A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2-AE2A-444E-9744-7BDE10BB2A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4-AE2A-444E-9744-7BDE10BB2A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6-AE2A-444E-9744-7BDE10BB2A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8-AE2A-444E-9744-7BDE10BB2A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A-AE2A-444E-9744-7BDE10BB2A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C-AE2A-444E-9744-7BDE10BB2AD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E-AE2A-444E-9744-7BDE10BB2AD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0-AE2A-444E-9744-7BDE10BB2AD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2-AE2A-444E-9744-7BDE10BB2AD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4-AE2A-444E-9744-7BDE10BB2AD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6-AE2A-444E-9744-7BDE10BB2AD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8-AE2A-444E-9744-7BDE10BB2AD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A-AE2A-444E-9744-7BDE10BB2AD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C-AE2A-444E-9744-7BDE10BB2AD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E-AE2A-444E-9744-7BDE10BB2AD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0-AE2A-444E-9744-7BDE10BB2AD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2-AE2A-444E-9744-7BDE10BB2AD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4-AE2A-444E-9744-7BDE10BB2AD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6-AE2A-444E-9744-7BDE10BB2AD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8-AE2A-444E-9744-7BDE10BB2AD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A-AE2A-444E-9744-7BDE10BB2AD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C-AE2A-444E-9744-7BDE10BB2AD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E-AE2A-444E-9744-7BDE10BB2AD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0-AE2A-444E-9744-7BDE10BB2AD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2-AE2A-444E-9744-7BDE10BB2AD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4-AE2A-444E-9744-7BDE10BB2AD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6-AE2A-444E-9744-7BDE10BB2AD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8-AE2A-444E-9744-7BDE10BB2AD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A-AE2A-444E-9744-7BDE10BB2AD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C-AE2A-444E-9744-7BDE10BB2AD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E-AE2A-444E-9744-7BDE10BB2AD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0-AE2A-444E-9744-7BDE10BB2AD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2-AE2A-444E-9744-7BDE10BB2AD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4-AE2A-444E-9744-7BDE10BB2AD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6-AE2A-444E-9744-7BDE10BB2AD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8-AE2A-444E-9744-7BDE10BB2AD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A-AE2A-444E-9744-7BDE10BB2AD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C-AE2A-444E-9744-7BDE10BB2AD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E-AE2A-444E-9744-7BDE10BB2AD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0-AE2A-444E-9744-7BDE10BB2AD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2-AE2A-444E-9744-7BDE10BB2AD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4-AE2A-444E-9744-7BDE10BB2AD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6-AE2A-444E-9744-7BDE10BB2AD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8-AE2A-444E-9744-7BDE10BB2AD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A-AE2A-444E-9744-7BDE10BB2AD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C-AE2A-444E-9744-7BDE10BB2AD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E-AE2A-444E-9744-7BDE10BB2AD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0-AE2A-444E-9744-7BDE10BB2AD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2-AE2A-444E-9744-7BDE10BB2AD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4-AE2A-444E-9744-7BDE10BB2ADE}"/>
              </c:ext>
            </c:extLst>
          </c:dPt>
          <c:cat>
            <c:strRef>
              <c:f>Sheet1!$A$2:$A$56</c:f>
              <c:strCache>
                <c:ptCount val="55"/>
                <c:pt idx="0">
                  <c:v>brian mwangi</c:v>
                </c:pt>
                <c:pt idx="1">
                  <c:v>grace wanjiku</c:v>
                </c:pt>
                <c:pt idx="2">
                  <c:v>john kamau</c:v>
                </c:pt>
                <c:pt idx="3">
                  <c:v>mary njeri</c:v>
                </c:pt>
                <c:pt idx="4">
                  <c:v>peter otieno</c:v>
                </c:pt>
                <c:pt idx="5">
                  <c:v>faith achieng </c:v>
                </c:pt>
                <c:pt idx="6">
                  <c:v>david kiptoo</c:v>
                </c:pt>
                <c:pt idx="7">
                  <c:v>james kariuki</c:v>
                </c:pt>
                <c:pt idx="8">
                  <c:v>ruth otieno</c:v>
                </c:pt>
                <c:pt idx="9">
                  <c:v>esther wambua</c:v>
                </c:pt>
                <c:pt idx="10">
                  <c:v>daniel mutisa</c:v>
                </c:pt>
                <c:pt idx="11">
                  <c:v>samuel kipchoge</c:v>
                </c:pt>
                <c:pt idx="12">
                  <c:v>sharon chebet</c:v>
                </c:pt>
                <c:pt idx="13">
                  <c:v>vivian odhiambo</c:v>
                </c:pt>
                <c:pt idx="14">
                  <c:v>kevin kibet</c:v>
                </c:pt>
                <c:pt idx="15">
                  <c:v>collins musyoka</c:v>
                </c:pt>
                <c:pt idx="16">
                  <c:v>janet muthoni</c:v>
                </c:pt>
                <c:pt idx="17">
                  <c:v>dennis barasa</c:v>
                </c:pt>
                <c:pt idx="18">
                  <c:v>alex kimani</c:v>
                </c:pt>
                <c:pt idx="19">
                  <c:v>partrick muli</c:v>
                </c:pt>
                <c:pt idx="20">
                  <c:v>caroline akoth</c:v>
                </c:pt>
                <c:pt idx="21">
                  <c:v>emanuel kiprono</c:v>
                </c:pt>
                <c:pt idx="22">
                  <c:v>susan wangari</c:v>
                </c:pt>
                <c:pt idx="23">
                  <c:v>victor njoroge </c:v>
                </c:pt>
                <c:pt idx="24">
                  <c:v>diana wambua</c:v>
                </c:pt>
                <c:pt idx="25">
                  <c:v>nancy wanjala</c:v>
                </c:pt>
                <c:pt idx="26">
                  <c:v>stella akinyi</c:v>
                </c:pt>
                <c:pt idx="27">
                  <c:v>francis karanja</c:v>
                </c:pt>
                <c:pt idx="28">
                  <c:v>lydia cherono</c:v>
                </c:pt>
                <c:pt idx="29">
                  <c:v>beatrice wanjiru</c:v>
                </c:pt>
                <c:pt idx="30">
                  <c:v>pamela otieno</c:v>
                </c:pt>
                <c:pt idx="31">
                  <c:v>charles were</c:v>
                </c:pt>
                <c:pt idx="32">
                  <c:v>edwin mutiso</c:v>
                </c:pt>
                <c:pt idx="33">
                  <c:v>oscar kipkemoi</c:v>
                </c:pt>
                <c:pt idx="34">
                  <c:v>caroline wanjiku</c:v>
                </c:pt>
                <c:pt idx="35">
                  <c:v>timothy mwende</c:v>
                </c:pt>
                <c:pt idx="36">
                  <c:v>rebecca chepgeno</c:v>
                </c:pt>
                <c:pt idx="37">
                  <c:v>brian mwangi</c:v>
                </c:pt>
                <c:pt idx="38">
                  <c:v>grace wanjiku</c:v>
                </c:pt>
                <c:pt idx="39">
                  <c:v>david kiptoo</c:v>
                </c:pt>
                <c:pt idx="40">
                  <c:v>james kariuki</c:v>
                </c:pt>
                <c:pt idx="41">
                  <c:v>ruth  opiyo</c:v>
                </c:pt>
                <c:pt idx="42">
                  <c:v>joseph  maina</c:v>
                </c:pt>
                <c:pt idx="43">
                  <c:v>faith achieng </c:v>
                </c:pt>
                <c:pt idx="44">
                  <c:v>michal ochieng</c:v>
                </c:pt>
                <c:pt idx="45">
                  <c:v>vivian odhiambo</c:v>
                </c:pt>
                <c:pt idx="46">
                  <c:v>kevin kiptoo</c:v>
                </c:pt>
                <c:pt idx="47">
                  <c:v>ann wairimu</c:v>
                </c:pt>
                <c:pt idx="48">
                  <c:v>mercy jepkosgei</c:v>
                </c:pt>
                <c:pt idx="49">
                  <c:v>mary njeri</c:v>
                </c:pt>
                <c:pt idx="50">
                  <c:v>Average</c:v>
                </c:pt>
                <c:pt idx="51">
                  <c:v>Max</c:v>
                </c:pt>
                <c:pt idx="52">
                  <c:v>Min</c:v>
                </c:pt>
                <c:pt idx="53">
                  <c:v>count</c:v>
                </c:pt>
                <c:pt idx="54">
                  <c:v>median</c:v>
                </c:pt>
              </c:strCache>
            </c:strRef>
          </c:cat>
          <c:val>
            <c:numRef>
              <c:f>Sheet1!$G$2:$G$56</c:f>
              <c:numCache>
                <c:formatCode>General</c:formatCode>
                <c:ptCount val="55"/>
                <c:pt idx="0">
                  <c:v>350</c:v>
                </c:pt>
                <c:pt idx="1">
                  <c:v>328</c:v>
                </c:pt>
                <c:pt idx="2">
                  <c:v>309</c:v>
                </c:pt>
                <c:pt idx="3">
                  <c:v>343</c:v>
                </c:pt>
                <c:pt idx="4">
                  <c:v>407</c:v>
                </c:pt>
                <c:pt idx="5">
                  <c:v>329</c:v>
                </c:pt>
                <c:pt idx="6">
                  <c:v>353</c:v>
                </c:pt>
                <c:pt idx="7">
                  <c:v>359</c:v>
                </c:pt>
                <c:pt idx="8">
                  <c:v>306</c:v>
                </c:pt>
                <c:pt idx="9">
                  <c:v>308</c:v>
                </c:pt>
                <c:pt idx="10">
                  <c:v>299</c:v>
                </c:pt>
                <c:pt idx="11">
                  <c:v>252</c:v>
                </c:pt>
                <c:pt idx="12">
                  <c:v>276</c:v>
                </c:pt>
                <c:pt idx="13">
                  <c:v>254</c:v>
                </c:pt>
                <c:pt idx="14">
                  <c:v>289</c:v>
                </c:pt>
                <c:pt idx="15">
                  <c:v>299</c:v>
                </c:pt>
                <c:pt idx="16">
                  <c:v>297</c:v>
                </c:pt>
                <c:pt idx="17">
                  <c:v>254</c:v>
                </c:pt>
                <c:pt idx="18">
                  <c:v>298</c:v>
                </c:pt>
                <c:pt idx="19">
                  <c:v>344</c:v>
                </c:pt>
                <c:pt idx="20">
                  <c:v>386</c:v>
                </c:pt>
                <c:pt idx="21">
                  <c:v>408</c:v>
                </c:pt>
                <c:pt idx="22">
                  <c:v>373</c:v>
                </c:pt>
                <c:pt idx="23">
                  <c:v>366</c:v>
                </c:pt>
                <c:pt idx="24">
                  <c:v>364</c:v>
                </c:pt>
                <c:pt idx="25">
                  <c:v>398</c:v>
                </c:pt>
                <c:pt idx="26">
                  <c:v>364</c:v>
                </c:pt>
                <c:pt idx="27">
                  <c:v>288</c:v>
                </c:pt>
                <c:pt idx="28">
                  <c:v>362</c:v>
                </c:pt>
                <c:pt idx="29">
                  <c:v>341</c:v>
                </c:pt>
                <c:pt idx="30">
                  <c:v>374</c:v>
                </c:pt>
                <c:pt idx="31">
                  <c:v>320</c:v>
                </c:pt>
                <c:pt idx="32">
                  <c:v>309</c:v>
                </c:pt>
                <c:pt idx="33">
                  <c:v>309</c:v>
                </c:pt>
                <c:pt idx="34">
                  <c:v>323</c:v>
                </c:pt>
                <c:pt idx="35">
                  <c:v>351</c:v>
                </c:pt>
                <c:pt idx="36">
                  <c:v>298</c:v>
                </c:pt>
                <c:pt idx="37">
                  <c:v>333</c:v>
                </c:pt>
                <c:pt idx="38">
                  <c:v>396</c:v>
                </c:pt>
                <c:pt idx="39">
                  <c:v>317</c:v>
                </c:pt>
                <c:pt idx="40">
                  <c:v>274</c:v>
                </c:pt>
                <c:pt idx="41">
                  <c:v>298</c:v>
                </c:pt>
                <c:pt idx="42">
                  <c:v>350</c:v>
                </c:pt>
                <c:pt idx="43">
                  <c:v>391</c:v>
                </c:pt>
                <c:pt idx="44">
                  <c:v>348</c:v>
                </c:pt>
                <c:pt idx="45">
                  <c:v>392</c:v>
                </c:pt>
                <c:pt idx="46">
                  <c:v>396</c:v>
                </c:pt>
                <c:pt idx="47">
                  <c:v>332</c:v>
                </c:pt>
                <c:pt idx="48">
                  <c:v>362</c:v>
                </c:pt>
                <c:pt idx="49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A5-AE2A-444E-9744-7BDE10BB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[EXCEL.xlsx]Sheet4!PivotTable2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</a:t>
            </a:r>
            <a:r>
              <a:rPr lang="en-US" baseline="0"/>
              <a:t> mark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Sum of 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Sheet4!$B$2:$B$50</c:f>
              <c:numCache>
                <c:formatCode>General</c:formatCode>
                <c:ptCount val="48"/>
                <c:pt idx="0">
                  <c:v>45</c:v>
                </c:pt>
                <c:pt idx="1">
                  <c:v>67</c:v>
                </c:pt>
                <c:pt idx="2">
                  <c:v>70.319999999999993</c:v>
                </c:pt>
                <c:pt idx="3">
                  <c:v>67</c:v>
                </c:pt>
                <c:pt idx="4">
                  <c:v>112</c:v>
                </c:pt>
                <c:pt idx="5">
                  <c:v>76</c:v>
                </c:pt>
                <c:pt idx="6">
                  <c:v>90</c:v>
                </c:pt>
                <c:pt idx="7">
                  <c:v>88</c:v>
                </c:pt>
                <c:pt idx="8">
                  <c:v>78</c:v>
                </c:pt>
                <c:pt idx="9">
                  <c:v>50</c:v>
                </c:pt>
                <c:pt idx="10">
                  <c:v>67</c:v>
                </c:pt>
                <c:pt idx="11">
                  <c:v>153</c:v>
                </c:pt>
                <c:pt idx="12">
                  <c:v>23</c:v>
                </c:pt>
                <c:pt idx="13">
                  <c:v>67</c:v>
                </c:pt>
                <c:pt idx="14">
                  <c:v>77</c:v>
                </c:pt>
                <c:pt idx="15">
                  <c:v>87</c:v>
                </c:pt>
                <c:pt idx="16">
                  <c:v>45</c:v>
                </c:pt>
                <c:pt idx="17">
                  <c:v>170</c:v>
                </c:pt>
                <c:pt idx="18">
                  <c:v>45</c:v>
                </c:pt>
                <c:pt idx="19">
                  <c:v>131</c:v>
                </c:pt>
                <c:pt idx="20">
                  <c:v>119</c:v>
                </c:pt>
                <c:pt idx="21">
                  <c:v>44</c:v>
                </c:pt>
                <c:pt idx="22">
                  <c:v>78</c:v>
                </c:pt>
                <c:pt idx="23">
                  <c:v>64</c:v>
                </c:pt>
                <c:pt idx="24">
                  <c:v>56</c:v>
                </c:pt>
                <c:pt idx="25">
                  <c:v>90</c:v>
                </c:pt>
                <c:pt idx="26">
                  <c:v>87</c:v>
                </c:pt>
                <c:pt idx="27">
                  <c:v>155</c:v>
                </c:pt>
                <c:pt idx="28">
                  <c:v>98</c:v>
                </c:pt>
                <c:pt idx="29">
                  <c:v>72.5</c:v>
                </c:pt>
                <c:pt idx="30">
                  <c:v>89</c:v>
                </c:pt>
                <c:pt idx="31">
                  <c:v>73</c:v>
                </c:pt>
                <c:pt idx="32">
                  <c:v>23</c:v>
                </c:pt>
                <c:pt idx="33">
                  <c:v>67</c:v>
                </c:pt>
                <c:pt idx="34">
                  <c:v>89</c:v>
                </c:pt>
                <c:pt idx="35">
                  <c:v>98</c:v>
                </c:pt>
                <c:pt idx="36">
                  <c:v>67</c:v>
                </c:pt>
                <c:pt idx="37">
                  <c:v>89</c:v>
                </c:pt>
                <c:pt idx="38">
                  <c:v>65</c:v>
                </c:pt>
                <c:pt idx="39">
                  <c:v>45</c:v>
                </c:pt>
                <c:pt idx="40">
                  <c:v>56</c:v>
                </c:pt>
                <c:pt idx="41">
                  <c:v>34</c:v>
                </c:pt>
                <c:pt idx="42">
                  <c:v>56</c:v>
                </c:pt>
                <c:pt idx="43">
                  <c:v>88</c:v>
                </c:pt>
                <c:pt idx="44">
                  <c:v>86</c:v>
                </c:pt>
                <c:pt idx="45">
                  <c:v>87</c:v>
                </c:pt>
                <c:pt idx="46">
                  <c:v>88</c:v>
                </c:pt>
                <c:pt idx="47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3-4641-9DC6-6EC9FDA2B92F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Sum of Eng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Sheet4!$C$2:$C$50</c:f>
              <c:numCache>
                <c:formatCode>General</c:formatCode>
                <c:ptCount val="48"/>
                <c:pt idx="0">
                  <c:v>88</c:v>
                </c:pt>
                <c:pt idx="1">
                  <c:v>66</c:v>
                </c:pt>
                <c:pt idx="2">
                  <c:v>64.12</c:v>
                </c:pt>
                <c:pt idx="3">
                  <c:v>33</c:v>
                </c:pt>
                <c:pt idx="4">
                  <c:v>152</c:v>
                </c:pt>
                <c:pt idx="5">
                  <c:v>90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50</c:v>
                </c:pt>
                <c:pt idx="10">
                  <c:v>54</c:v>
                </c:pt>
                <c:pt idx="11">
                  <c:v>89</c:v>
                </c:pt>
                <c:pt idx="12">
                  <c:v>77</c:v>
                </c:pt>
                <c:pt idx="13">
                  <c:v>56</c:v>
                </c:pt>
                <c:pt idx="14">
                  <c:v>66</c:v>
                </c:pt>
                <c:pt idx="15">
                  <c:v>57</c:v>
                </c:pt>
                <c:pt idx="16">
                  <c:v>64</c:v>
                </c:pt>
                <c:pt idx="17">
                  <c:v>111</c:v>
                </c:pt>
                <c:pt idx="18">
                  <c:v>54</c:v>
                </c:pt>
                <c:pt idx="19">
                  <c:v>153</c:v>
                </c:pt>
                <c:pt idx="20">
                  <c:v>109</c:v>
                </c:pt>
                <c:pt idx="21">
                  <c:v>66</c:v>
                </c:pt>
                <c:pt idx="22">
                  <c:v>87</c:v>
                </c:pt>
                <c:pt idx="23">
                  <c:v>66</c:v>
                </c:pt>
                <c:pt idx="24">
                  <c:v>44</c:v>
                </c:pt>
                <c:pt idx="25">
                  <c:v>55</c:v>
                </c:pt>
                <c:pt idx="26">
                  <c:v>45</c:v>
                </c:pt>
                <c:pt idx="27">
                  <c:v>174</c:v>
                </c:pt>
                <c:pt idx="28">
                  <c:v>99</c:v>
                </c:pt>
                <c:pt idx="29">
                  <c:v>64.5</c:v>
                </c:pt>
                <c:pt idx="30">
                  <c:v>77</c:v>
                </c:pt>
                <c:pt idx="31">
                  <c:v>88</c:v>
                </c:pt>
                <c:pt idx="32">
                  <c:v>33</c:v>
                </c:pt>
                <c:pt idx="33">
                  <c:v>76</c:v>
                </c:pt>
                <c:pt idx="34">
                  <c:v>77</c:v>
                </c:pt>
                <c:pt idx="35">
                  <c:v>44</c:v>
                </c:pt>
                <c:pt idx="36">
                  <c:v>99</c:v>
                </c:pt>
                <c:pt idx="37">
                  <c:v>86</c:v>
                </c:pt>
                <c:pt idx="38">
                  <c:v>55</c:v>
                </c:pt>
                <c:pt idx="39">
                  <c:v>55</c:v>
                </c:pt>
                <c:pt idx="40">
                  <c:v>64</c:v>
                </c:pt>
                <c:pt idx="41">
                  <c:v>54</c:v>
                </c:pt>
                <c:pt idx="42">
                  <c:v>55</c:v>
                </c:pt>
                <c:pt idx="43">
                  <c:v>87</c:v>
                </c:pt>
                <c:pt idx="44">
                  <c:v>45</c:v>
                </c:pt>
                <c:pt idx="45">
                  <c:v>66</c:v>
                </c:pt>
                <c:pt idx="46">
                  <c:v>34</c:v>
                </c:pt>
                <c:pt idx="47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D3-4641-9DC6-6EC9FDA2B92F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Sum of Kisw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Sheet4!$D$2:$D$50</c:f>
              <c:numCache>
                <c:formatCode>General</c:formatCode>
                <c:ptCount val="48"/>
                <c:pt idx="0">
                  <c:v>55</c:v>
                </c:pt>
                <c:pt idx="1">
                  <c:v>80</c:v>
                </c:pt>
                <c:pt idx="2">
                  <c:v>70.52</c:v>
                </c:pt>
                <c:pt idx="3">
                  <c:v>88</c:v>
                </c:pt>
                <c:pt idx="4">
                  <c:v>164</c:v>
                </c:pt>
                <c:pt idx="5">
                  <c:v>77</c:v>
                </c:pt>
                <c:pt idx="6">
                  <c:v>66</c:v>
                </c:pt>
                <c:pt idx="7">
                  <c:v>33</c:v>
                </c:pt>
                <c:pt idx="8">
                  <c:v>22</c:v>
                </c:pt>
                <c:pt idx="9">
                  <c:v>50</c:v>
                </c:pt>
                <c:pt idx="10">
                  <c:v>55</c:v>
                </c:pt>
                <c:pt idx="11">
                  <c:v>177</c:v>
                </c:pt>
                <c:pt idx="12">
                  <c:v>44</c:v>
                </c:pt>
                <c:pt idx="13">
                  <c:v>77</c:v>
                </c:pt>
                <c:pt idx="14">
                  <c:v>44</c:v>
                </c:pt>
                <c:pt idx="15">
                  <c:v>88</c:v>
                </c:pt>
                <c:pt idx="16">
                  <c:v>66</c:v>
                </c:pt>
                <c:pt idx="17">
                  <c:v>144</c:v>
                </c:pt>
                <c:pt idx="18">
                  <c:v>67</c:v>
                </c:pt>
                <c:pt idx="19">
                  <c:v>168</c:v>
                </c:pt>
                <c:pt idx="20">
                  <c:v>175</c:v>
                </c:pt>
                <c:pt idx="21">
                  <c:v>33</c:v>
                </c:pt>
                <c:pt idx="22">
                  <c:v>65</c:v>
                </c:pt>
                <c:pt idx="23">
                  <c:v>77</c:v>
                </c:pt>
                <c:pt idx="24">
                  <c:v>44</c:v>
                </c:pt>
                <c:pt idx="25">
                  <c:v>88</c:v>
                </c:pt>
                <c:pt idx="26">
                  <c:v>77</c:v>
                </c:pt>
                <c:pt idx="27">
                  <c:v>155</c:v>
                </c:pt>
                <c:pt idx="28">
                  <c:v>99</c:v>
                </c:pt>
                <c:pt idx="29">
                  <c:v>76</c:v>
                </c:pt>
                <c:pt idx="30">
                  <c:v>86</c:v>
                </c:pt>
                <c:pt idx="31">
                  <c:v>66</c:v>
                </c:pt>
                <c:pt idx="32">
                  <c:v>22</c:v>
                </c:pt>
                <c:pt idx="33">
                  <c:v>88</c:v>
                </c:pt>
                <c:pt idx="34">
                  <c:v>55</c:v>
                </c:pt>
                <c:pt idx="35">
                  <c:v>99</c:v>
                </c:pt>
                <c:pt idx="36">
                  <c:v>66</c:v>
                </c:pt>
                <c:pt idx="37">
                  <c:v>90</c:v>
                </c:pt>
                <c:pt idx="38">
                  <c:v>66</c:v>
                </c:pt>
                <c:pt idx="39">
                  <c:v>66</c:v>
                </c:pt>
                <c:pt idx="40">
                  <c:v>76</c:v>
                </c:pt>
                <c:pt idx="41">
                  <c:v>44</c:v>
                </c:pt>
                <c:pt idx="42">
                  <c:v>55</c:v>
                </c:pt>
                <c:pt idx="43">
                  <c:v>66</c:v>
                </c:pt>
                <c:pt idx="44">
                  <c:v>99</c:v>
                </c:pt>
                <c:pt idx="45">
                  <c:v>77</c:v>
                </c:pt>
                <c:pt idx="46">
                  <c:v>88</c:v>
                </c:pt>
                <c:pt idx="47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D3-4641-9DC6-6EC9FDA2B92F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Sum of Sci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Sheet4!$E$2:$E$50</c:f>
              <c:numCache>
                <c:formatCode>General</c:formatCode>
                <c:ptCount val="48"/>
                <c:pt idx="0">
                  <c:v>54</c:v>
                </c:pt>
                <c:pt idx="1">
                  <c:v>76</c:v>
                </c:pt>
                <c:pt idx="2">
                  <c:v>65.42</c:v>
                </c:pt>
                <c:pt idx="3">
                  <c:v>66</c:v>
                </c:pt>
                <c:pt idx="4">
                  <c:v>123</c:v>
                </c:pt>
                <c:pt idx="5">
                  <c:v>56</c:v>
                </c:pt>
                <c:pt idx="6">
                  <c:v>56</c:v>
                </c:pt>
                <c:pt idx="7">
                  <c:v>99</c:v>
                </c:pt>
                <c:pt idx="8">
                  <c:v>88</c:v>
                </c:pt>
                <c:pt idx="9">
                  <c:v>50</c:v>
                </c:pt>
                <c:pt idx="10">
                  <c:v>78</c:v>
                </c:pt>
                <c:pt idx="11">
                  <c:v>99</c:v>
                </c:pt>
                <c:pt idx="12">
                  <c:v>76</c:v>
                </c:pt>
                <c:pt idx="13">
                  <c:v>66</c:v>
                </c:pt>
                <c:pt idx="14">
                  <c:v>55</c:v>
                </c:pt>
                <c:pt idx="15">
                  <c:v>78</c:v>
                </c:pt>
                <c:pt idx="16">
                  <c:v>56</c:v>
                </c:pt>
                <c:pt idx="17">
                  <c:v>132</c:v>
                </c:pt>
                <c:pt idx="18">
                  <c:v>66</c:v>
                </c:pt>
                <c:pt idx="19">
                  <c:v>131</c:v>
                </c:pt>
                <c:pt idx="20">
                  <c:v>78</c:v>
                </c:pt>
                <c:pt idx="21">
                  <c:v>98</c:v>
                </c:pt>
                <c:pt idx="22">
                  <c:v>45</c:v>
                </c:pt>
                <c:pt idx="23">
                  <c:v>65</c:v>
                </c:pt>
                <c:pt idx="24">
                  <c:v>67</c:v>
                </c:pt>
                <c:pt idx="25">
                  <c:v>98</c:v>
                </c:pt>
                <c:pt idx="26">
                  <c:v>77</c:v>
                </c:pt>
                <c:pt idx="27">
                  <c:v>132</c:v>
                </c:pt>
                <c:pt idx="28">
                  <c:v>99</c:v>
                </c:pt>
                <c:pt idx="29">
                  <c:v>66</c:v>
                </c:pt>
                <c:pt idx="30">
                  <c:v>54</c:v>
                </c:pt>
                <c:pt idx="31">
                  <c:v>67</c:v>
                </c:pt>
                <c:pt idx="32">
                  <c:v>33</c:v>
                </c:pt>
                <c:pt idx="33">
                  <c:v>77</c:v>
                </c:pt>
                <c:pt idx="34">
                  <c:v>44</c:v>
                </c:pt>
                <c:pt idx="35">
                  <c:v>88</c:v>
                </c:pt>
                <c:pt idx="36">
                  <c:v>34</c:v>
                </c:pt>
                <c:pt idx="37">
                  <c:v>66</c:v>
                </c:pt>
                <c:pt idx="38">
                  <c:v>67</c:v>
                </c:pt>
                <c:pt idx="39">
                  <c:v>67</c:v>
                </c:pt>
                <c:pt idx="40">
                  <c:v>44</c:v>
                </c:pt>
                <c:pt idx="41">
                  <c:v>76</c:v>
                </c:pt>
                <c:pt idx="42">
                  <c:v>54</c:v>
                </c:pt>
                <c:pt idx="43">
                  <c:v>67</c:v>
                </c:pt>
                <c:pt idx="44">
                  <c:v>76</c:v>
                </c:pt>
                <c:pt idx="45">
                  <c:v>54</c:v>
                </c:pt>
                <c:pt idx="46">
                  <c:v>89</c:v>
                </c:pt>
                <c:pt idx="47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D3-4641-9DC6-6EC9FDA2B92F}"/>
            </c:ext>
          </c:extLst>
        </c:ser>
        <c:ser>
          <c:idx val="4"/>
          <c:order val="4"/>
          <c:tx>
            <c:strRef>
              <c:f>Sheet4!$F$1</c:f>
              <c:strCache>
                <c:ptCount val="1"/>
                <c:pt idx="0">
                  <c:v>Sum of Chem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Sheet4!$F$2:$F$50</c:f>
              <c:numCache>
                <c:formatCode>General</c:formatCode>
                <c:ptCount val="48"/>
                <c:pt idx="0">
                  <c:v>56</c:v>
                </c:pt>
                <c:pt idx="1">
                  <c:v>43</c:v>
                </c:pt>
                <c:pt idx="2">
                  <c:v>65.3</c:v>
                </c:pt>
                <c:pt idx="3">
                  <c:v>87</c:v>
                </c:pt>
                <c:pt idx="4">
                  <c:v>132</c:v>
                </c:pt>
                <c:pt idx="5">
                  <c:v>87</c:v>
                </c:pt>
                <c:pt idx="6">
                  <c:v>56</c:v>
                </c:pt>
                <c:pt idx="7">
                  <c:v>45</c:v>
                </c:pt>
                <c:pt idx="8">
                  <c:v>56</c:v>
                </c:pt>
                <c:pt idx="9">
                  <c:v>50</c:v>
                </c:pt>
                <c:pt idx="10">
                  <c:v>45</c:v>
                </c:pt>
                <c:pt idx="11">
                  <c:v>152</c:v>
                </c:pt>
                <c:pt idx="12">
                  <c:v>34</c:v>
                </c:pt>
                <c:pt idx="13">
                  <c:v>98</c:v>
                </c:pt>
                <c:pt idx="14">
                  <c:v>67</c:v>
                </c:pt>
                <c:pt idx="15">
                  <c:v>98</c:v>
                </c:pt>
                <c:pt idx="16">
                  <c:v>77</c:v>
                </c:pt>
                <c:pt idx="17">
                  <c:v>163</c:v>
                </c:pt>
                <c:pt idx="18">
                  <c:v>56</c:v>
                </c:pt>
                <c:pt idx="19">
                  <c:v>141</c:v>
                </c:pt>
                <c:pt idx="20">
                  <c:v>152</c:v>
                </c:pt>
                <c:pt idx="21">
                  <c:v>56</c:v>
                </c:pt>
                <c:pt idx="22">
                  <c:v>34</c:v>
                </c:pt>
                <c:pt idx="23">
                  <c:v>78</c:v>
                </c:pt>
                <c:pt idx="24">
                  <c:v>78</c:v>
                </c:pt>
                <c:pt idx="25">
                  <c:v>65</c:v>
                </c:pt>
                <c:pt idx="26">
                  <c:v>76</c:v>
                </c:pt>
                <c:pt idx="27">
                  <c:v>134</c:v>
                </c:pt>
                <c:pt idx="28">
                  <c:v>98</c:v>
                </c:pt>
                <c:pt idx="29">
                  <c:v>65</c:v>
                </c:pt>
                <c:pt idx="30">
                  <c:v>56</c:v>
                </c:pt>
                <c:pt idx="31">
                  <c:v>54</c:v>
                </c:pt>
                <c:pt idx="32">
                  <c:v>34</c:v>
                </c:pt>
                <c:pt idx="33">
                  <c:v>90</c:v>
                </c:pt>
                <c:pt idx="34">
                  <c:v>44</c:v>
                </c:pt>
                <c:pt idx="35">
                  <c:v>45</c:v>
                </c:pt>
                <c:pt idx="36">
                  <c:v>78</c:v>
                </c:pt>
                <c:pt idx="37">
                  <c:v>76</c:v>
                </c:pt>
                <c:pt idx="38">
                  <c:v>45</c:v>
                </c:pt>
                <c:pt idx="39">
                  <c:v>65</c:v>
                </c:pt>
                <c:pt idx="40">
                  <c:v>66</c:v>
                </c:pt>
                <c:pt idx="41">
                  <c:v>44</c:v>
                </c:pt>
                <c:pt idx="42">
                  <c:v>56</c:v>
                </c:pt>
                <c:pt idx="43">
                  <c:v>56</c:v>
                </c:pt>
                <c:pt idx="44">
                  <c:v>67</c:v>
                </c:pt>
                <c:pt idx="45">
                  <c:v>67</c:v>
                </c:pt>
                <c:pt idx="46">
                  <c:v>67</c:v>
                </c:pt>
                <c:pt idx="47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D3-4641-9DC6-6EC9FDA2B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9243071"/>
        <c:axId val="829244991"/>
      </c:lineChart>
      <c:catAx>
        <c:axId val="82924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29244991"/>
        <c:crosses val="autoZero"/>
        <c:auto val="1"/>
        <c:lblAlgn val="ctr"/>
        <c:lblOffset val="100"/>
        <c:noMultiLvlLbl val="0"/>
      </c:catAx>
      <c:valAx>
        <c:axId val="82924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2924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[EXCEL.xlsx]Sheet4!PivotTable2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/>
          <a:effectLst/>
          <a:sp3d/>
        </c:spPr>
      </c:pivotFmt>
      <c:pivotFmt>
        <c:idx val="7"/>
        <c:spPr>
          <a:solidFill>
            <a:schemeClr val="accent2"/>
          </a:solidFill>
          <a:ln/>
          <a:effectLst/>
          <a:sp3d/>
        </c:spPr>
      </c:pivotFmt>
      <c:pivotFmt>
        <c:idx val="8"/>
        <c:spPr>
          <a:solidFill>
            <a:schemeClr val="accent3"/>
          </a:solidFill>
          <a:ln/>
          <a:effectLst/>
          <a:sp3d/>
        </c:spPr>
      </c:pivotFmt>
      <c:pivotFmt>
        <c:idx val="9"/>
        <c:spPr>
          <a:solidFill>
            <a:schemeClr val="accent4"/>
          </a:solidFill>
          <a:ln/>
          <a:effectLst/>
          <a:sp3d/>
        </c:spPr>
      </c:pivotFmt>
      <c:pivotFmt>
        <c:idx val="10"/>
        <c:spPr>
          <a:solidFill>
            <a:schemeClr val="accent5"/>
          </a:solidFill>
          <a:ln/>
          <a:effectLst/>
          <a:sp3d/>
        </c:spPr>
      </c:pivotFmt>
      <c:pivotFmt>
        <c:idx val="11"/>
        <c:spPr>
          <a:solidFill>
            <a:schemeClr val="accent6"/>
          </a:solidFill>
          <a:ln/>
          <a:effectLst/>
          <a:sp3d/>
        </c:spPr>
      </c:pivotFmt>
      <c:pivotFmt>
        <c:idx val="12"/>
        <c:spPr>
          <a:solidFill>
            <a:schemeClr val="accent1">
              <a:lumMod val="60000"/>
            </a:schemeClr>
          </a:solidFill>
          <a:ln/>
          <a:effectLst/>
          <a:sp3d/>
        </c:spPr>
      </c:pivotFmt>
      <c:pivotFmt>
        <c:idx val="13"/>
        <c:spPr>
          <a:solidFill>
            <a:schemeClr val="accent2">
              <a:lumMod val="60000"/>
            </a:schemeClr>
          </a:solidFill>
          <a:ln/>
          <a:effectLst/>
          <a:sp3d/>
        </c:spPr>
      </c:pivotFmt>
      <c:pivotFmt>
        <c:idx val="14"/>
        <c:spPr>
          <a:solidFill>
            <a:schemeClr val="accent3">
              <a:lumMod val="60000"/>
            </a:schemeClr>
          </a:solidFill>
          <a:ln/>
          <a:effectLst/>
          <a:sp3d/>
        </c:spPr>
      </c:pivotFmt>
      <c:pivotFmt>
        <c:idx val="15"/>
        <c:spPr>
          <a:solidFill>
            <a:schemeClr val="accent4">
              <a:lumMod val="60000"/>
            </a:schemeClr>
          </a:solidFill>
          <a:ln/>
          <a:effectLst/>
          <a:sp3d/>
        </c:spPr>
      </c:pivotFmt>
      <c:pivotFmt>
        <c:idx val="16"/>
        <c:spPr>
          <a:solidFill>
            <a:schemeClr val="accent5">
              <a:lumMod val="60000"/>
            </a:schemeClr>
          </a:solidFill>
          <a:ln/>
          <a:effectLst/>
          <a:sp3d/>
        </c:spPr>
      </c:pivotFmt>
      <c:pivotFmt>
        <c:idx val="17"/>
        <c:spPr>
          <a:solidFill>
            <a:schemeClr val="accent6">
              <a:lumMod val="60000"/>
            </a:schemeClr>
          </a:solidFill>
          <a:ln/>
          <a:effectLst/>
          <a:sp3d/>
        </c:spPr>
      </c:pivotFmt>
      <c:pivotFmt>
        <c:idx val="18"/>
        <c:spPr>
          <a:solidFill>
            <a:schemeClr val="accent1">
              <a:lumMod val="80000"/>
              <a:lumOff val="20000"/>
            </a:schemeClr>
          </a:solidFill>
          <a:ln/>
          <a:effectLst/>
          <a:sp3d/>
        </c:spPr>
      </c:pivotFmt>
      <c:pivotFmt>
        <c:idx val="19"/>
        <c:spPr>
          <a:solidFill>
            <a:schemeClr val="accent2">
              <a:lumMod val="80000"/>
              <a:lumOff val="20000"/>
            </a:schemeClr>
          </a:solidFill>
          <a:ln/>
          <a:effectLst/>
          <a:sp3d/>
        </c:spPr>
      </c:pivotFmt>
      <c:pivotFmt>
        <c:idx val="20"/>
        <c:spPr>
          <a:solidFill>
            <a:schemeClr val="accent3">
              <a:lumMod val="80000"/>
              <a:lumOff val="20000"/>
            </a:schemeClr>
          </a:solidFill>
          <a:ln/>
          <a:effectLst/>
          <a:sp3d/>
        </c:spPr>
      </c:pivotFmt>
      <c:pivotFmt>
        <c:idx val="21"/>
        <c:spPr>
          <a:solidFill>
            <a:schemeClr val="accent2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/>
          <a:effectLst/>
          <a:sp3d/>
        </c:spPr>
      </c:pivotFmt>
      <c:pivotFmt>
        <c:idx val="27"/>
        <c:spPr>
          <a:solidFill>
            <a:schemeClr val="accent2"/>
          </a:solidFill>
          <a:ln/>
          <a:effectLst/>
          <a:sp3d/>
        </c:spPr>
      </c:pivotFmt>
      <c:pivotFmt>
        <c:idx val="28"/>
        <c:spPr>
          <a:solidFill>
            <a:schemeClr val="accent3"/>
          </a:solidFill>
          <a:ln/>
          <a:effectLst/>
          <a:sp3d/>
        </c:spPr>
      </c:pivotFmt>
      <c:pivotFmt>
        <c:idx val="29"/>
        <c:spPr>
          <a:solidFill>
            <a:schemeClr val="accent4"/>
          </a:solidFill>
          <a:ln/>
          <a:effectLst/>
          <a:sp3d/>
        </c:spPr>
      </c:pivotFmt>
      <c:pivotFmt>
        <c:idx val="30"/>
        <c:spPr>
          <a:solidFill>
            <a:schemeClr val="accent5"/>
          </a:solidFill>
          <a:ln/>
          <a:effectLst/>
          <a:sp3d/>
        </c:spPr>
      </c:pivotFmt>
      <c:pivotFmt>
        <c:idx val="31"/>
        <c:spPr>
          <a:solidFill>
            <a:schemeClr val="accent6"/>
          </a:solidFill>
          <a:ln/>
          <a:effectLst/>
          <a:sp3d/>
        </c:spPr>
      </c:pivotFmt>
      <c:pivotFmt>
        <c:idx val="32"/>
        <c:spPr>
          <a:solidFill>
            <a:schemeClr val="accent1">
              <a:lumMod val="60000"/>
            </a:schemeClr>
          </a:solidFill>
          <a:ln/>
          <a:effectLst/>
          <a:sp3d/>
        </c:spPr>
      </c:pivotFmt>
      <c:pivotFmt>
        <c:idx val="33"/>
        <c:spPr>
          <a:solidFill>
            <a:schemeClr val="accent2">
              <a:lumMod val="60000"/>
            </a:schemeClr>
          </a:solidFill>
          <a:ln/>
          <a:effectLst/>
          <a:sp3d/>
        </c:spPr>
      </c:pivotFmt>
      <c:pivotFmt>
        <c:idx val="34"/>
        <c:spPr>
          <a:solidFill>
            <a:schemeClr val="accent3">
              <a:lumMod val="60000"/>
            </a:schemeClr>
          </a:solidFill>
          <a:ln/>
          <a:effectLst/>
          <a:sp3d/>
        </c:spPr>
      </c:pivotFmt>
      <c:pivotFmt>
        <c:idx val="35"/>
        <c:spPr>
          <a:solidFill>
            <a:schemeClr val="accent4">
              <a:lumMod val="60000"/>
            </a:schemeClr>
          </a:solidFill>
          <a:ln/>
          <a:effectLst/>
          <a:sp3d/>
        </c:spPr>
      </c:pivotFmt>
      <c:pivotFmt>
        <c:idx val="36"/>
        <c:spPr>
          <a:solidFill>
            <a:schemeClr val="accent5">
              <a:lumMod val="60000"/>
            </a:schemeClr>
          </a:solidFill>
          <a:ln/>
          <a:effectLst/>
          <a:sp3d/>
        </c:spPr>
      </c:pivotFmt>
      <c:pivotFmt>
        <c:idx val="37"/>
        <c:spPr>
          <a:solidFill>
            <a:schemeClr val="accent6">
              <a:lumMod val="60000"/>
            </a:schemeClr>
          </a:solidFill>
          <a:ln/>
          <a:effectLst/>
          <a:sp3d/>
        </c:spPr>
      </c:pivotFmt>
      <c:pivotFmt>
        <c:idx val="38"/>
        <c:spPr>
          <a:solidFill>
            <a:schemeClr val="accent1">
              <a:lumMod val="80000"/>
              <a:lumOff val="20000"/>
            </a:schemeClr>
          </a:solidFill>
          <a:ln/>
          <a:effectLst/>
          <a:sp3d/>
        </c:spPr>
      </c:pivotFmt>
      <c:pivotFmt>
        <c:idx val="39"/>
        <c:spPr>
          <a:solidFill>
            <a:schemeClr val="accent2">
              <a:lumMod val="80000"/>
              <a:lumOff val="20000"/>
            </a:schemeClr>
          </a:solidFill>
          <a:ln/>
          <a:effectLst/>
          <a:sp3d/>
        </c:spPr>
      </c:pivotFmt>
      <c:pivotFmt>
        <c:idx val="40"/>
        <c:spPr>
          <a:solidFill>
            <a:schemeClr val="accent3">
              <a:lumMod val="80000"/>
              <a:lumOff val="20000"/>
            </a:schemeClr>
          </a:solidFill>
          <a:ln/>
          <a:effectLst/>
          <a:sp3d/>
        </c:spPr>
      </c:pivotFmt>
      <c:pivotFmt>
        <c:idx val="41"/>
        <c:spPr>
          <a:solidFill>
            <a:schemeClr val="accent2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3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5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Sheet4!$B$1</c:f>
              <c:strCache>
                <c:ptCount val="1"/>
                <c:pt idx="0">
                  <c:v>Sum of Math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Sheet4!$B$2:$B$50</c:f>
              <c:numCache>
                <c:formatCode>General</c:formatCode>
                <c:ptCount val="48"/>
                <c:pt idx="0">
                  <c:v>45</c:v>
                </c:pt>
                <c:pt idx="1">
                  <c:v>67</c:v>
                </c:pt>
                <c:pt idx="2">
                  <c:v>70.319999999999993</c:v>
                </c:pt>
                <c:pt idx="3">
                  <c:v>67</c:v>
                </c:pt>
                <c:pt idx="4">
                  <c:v>112</c:v>
                </c:pt>
                <c:pt idx="5">
                  <c:v>76</c:v>
                </c:pt>
                <c:pt idx="6">
                  <c:v>90</c:v>
                </c:pt>
                <c:pt idx="7">
                  <c:v>88</c:v>
                </c:pt>
                <c:pt idx="8">
                  <c:v>78</c:v>
                </c:pt>
                <c:pt idx="9">
                  <c:v>50</c:v>
                </c:pt>
                <c:pt idx="10">
                  <c:v>67</c:v>
                </c:pt>
                <c:pt idx="11">
                  <c:v>153</c:v>
                </c:pt>
                <c:pt idx="12">
                  <c:v>23</c:v>
                </c:pt>
                <c:pt idx="13">
                  <c:v>67</c:v>
                </c:pt>
                <c:pt idx="14">
                  <c:v>77</c:v>
                </c:pt>
                <c:pt idx="15">
                  <c:v>87</c:v>
                </c:pt>
                <c:pt idx="16">
                  <c:v>45</c:v>
                </c:pt>
                <c:pt idx="17">
                  <c:v>170</c:v>
                </c:pt>
                <c:pt idx="18">
                  <c:v>45</c:v>
                </c:pt>
                <c:pt idx="19">
                  <c:v>131</c:v>
                </c:pt>
                <c:pt idx="20">
                  <c:v>119</c:v>
                </c:pt>
                <c:pt idx="21">
                  <c:v>44</c:v>
                </c:pt>
                <c:pt idx="22">
                  <c:v>78</c:v>
                </c:pt>
                <c:pt idx="23">
                  <c:v>64</c:v>
                </c:pt>
                <c:pt idx="24">
                  <c:v>56</c:v>
                </c:pt>
                <c:pt idx="25">
                  <c:v>90</c:v>
                </c:pt>
                <c:pt idx="26">
                  <c:v>87</c:v>
                </c:pt>
                <c:pt idx="27">
                  <c:v>155</c:v>
                </c:pt>
                <c:pt idx="28">
                  <c:v>98</c:v>
                </c:pt>
                <c:pt idx="29">
                  <c:v>72.5</c:v>
                </c:pt>
                <c:pt idx="30">
                  <c:v>89</c:v>
                </c:pt>
                <c:pt idx="31">
                  <c:v>73</c:v>
                </c:pt>
                <c:pt idx="32">
                  <c:v>23</c:v>
                </c:pt>
                <c:pt idx="33">
                  <c:v>67</c:v>
                </c:pt>
                <c:pt idx="34">
                  <c:v>89</c:v>
                </c:pt>
                <c:pt idx="35">
                  <c:v>98</c:v>
                </c:pt>
                <c:pt idx="36">
                  <c:v>67</c:v>
                </c:pt>
                <c:pt idx="37">
                  <c:v>89</c:v>
                </c:pt>
                <c:pt idx="38">
                  <c:v>65</c:v>
                </c:pt>
                <c:pt idx="39">
                  <c:v>45</c:v>
                </c:pt>
                <c:pt idx="40">
                  <c:v>56</c:v>
                </c:pt>
                <c:pt idx="41">
                  <c:v>34</c:v>
                </c:pt>
                <c:pt idx="42">
                  <c:v>56</c:v>
                </c:pt>
                <c:pt idx="43">
                  <c:v>88</c:v>
                </c:pt>
                <c:pt idx="44">
                  <c:v>86</c:v>
                </c:pt>
                <c:pt idx="45">
                  <c:v>87</c:v>
                </c:pt>
                <c:pt idx="46">
                  <c:v>88</c:v>
                </c:pt>
                <c:pt idx="47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86-A8A3-4759E4F96244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Sum of Eng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Sheet4!$C$2:$C$50</c:f>
              <c:numCache>
                <c:formatCode>General</c:formatCode>
                <c:ptCount val="48"/>
                <c:pt idx="0">
                  <c:v>88</c:v>
                </c:pt>
                <c:pt idx="1">
                  <c:v>66</c:v>
                </c:pt>
                <c:pt idx="2">
                  <c:v>64.12</c:v>
                </c:pt>
                <c:pt idx="3">
                  <c:v>33</c:v>
                </c:pt>
                <c:pt idx="4">
                  <c:v>152</c:v>
                </c:pt>
                <c:pt idx="5">
                  <c:v>90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50</c:v>
                </c:pt>
                <c:pt idx="10">
                  <c:v>54</c:v>
                </c:pt>
                <c:pt idx="11">
                  <c:v>89</c:v>
                </c:pt>
                <c:pt idx="12">
                  <c:v>77</c:v>
                </c:pt>
                <c:pt idx="13">
                  <c:v>56</c:v>
                </c:pt>
                <c:pt idx="14">
                  <c:v>66</c:v>
                </c:pt>
                <c:pt idx="15">
                  <c:v>57</c:v>
                </c:pt>
                <c:pt idx="16">
                  <c:v>64</c:v>
                </c:pt>
                <c:pt idx="17">
                  <c:v>111</c:v>
                </c:pt>
                <c:pt idx="18">
                  <c:v>54</c:v>
                </c:pt>
                <c:pt idx="19">
                  <c:v>153</c:v>
                </c:pt>
                <c:pt idx="20">
                  <c:v>109</c:v>
                </c:pt>
                <c:pt idx="21">
                  <c:v>66</c:v>
                </c:pt>
                <c:pt idx="22">
                  <c:v>87</c:v>
                </c:pt>
                <c:pt idx="23">
                  <c:v>66</c:v>
                </c:pt>
                <c:pt idx="24">
                  <c:v>44</c:v>
                </c:pt>
                <c:pt idx="25">
                  <c:v>55</c:v>
                </c:pt>
                <c:pt idx="26">
                  <c:v>45</c:v>
                </c:pt>
                <c:pt idx="27">
                  <c:v>174</c:v>
                </c:pt>
                <c:pt idx="28">
                  <c:v>99</c:v>
                </c:pt>
                <c:pt idx="29">
                  <c:v>64.5</c:v>
                </c:pt>
                <c:pt idx="30">
                  <c:v>77</c:v>
                </c:pt>
                <c:pt idx="31">
                  <c:v>88</c:v>
                </c:pt>
                <c:pt idx="32">
                  <c:v>33</c:v>
                </c:pt>
                <c:pt idx="33">
                  <c:v>76</c:v>
                </c:pt>
                <c:pt idx="34">
                  <c:v>77</c:v>
                </c:pt>
                <c:pt idx="35">
                  <c:v>44</c:v>
                </c:pt>
                <c:pt idx="36">
                  <c:v>99</c:v>
                </c:pt>
                <c:pt idx="37">
                  <c:v>86</c:v>
                </c:pt>
                <c:pt idx="38">
                  <c:v>55</c:v>
                </c:pt>
                <c:pt idx="39">
                  <c:v>55</c:v>
                </c:pt>
                <c:pt idx="40">
                  <c:v>64</c:v>
                </c:pt>
                <c:pt idx="41">
                  <c:v>54</c:v>
                </c:pt>
                <c:pt idx="42">
                  <c:v>55</c:v>
                </c:pt>
                <c:pt idx="43">
                  <c:v>87</c:v>
                </c:pt>
                <c:pt idx="44">
                  <c:v>45</c:v>
                </c:pt>
                <c:pt idx="45">
                  <c:v>66</c:v>
                </c:pt>
                <c:pt idx="46">
                  <c:v>34</c:v>
                </c:pt>
                <c:pt idx="4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7-4086-A8A3-4759E4F96244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Sum of Kisw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Sheet4!$D$2:$D$50</c:f>
              <c:numCache>
                <c:formatCode>General</c:formatCode>
                <c:ptCount val="48"/>
                <c:pt idx="0">
                  <c:v>55</c:v>
                </c:pt>
                <c:pt idx="1">
                  <c:v>80</c:v>
                </c:pt>
                <c:pt idx="2">
                  <c:v>70.52</c:v>
                </c:pt>
                <c:pt idx="3">
                  <c:v>88</c:v>
                </c:pt>
                <c:pt idx="4">
                  <c:v>164</c:v>
                </c:pt>
                <c:pt idx="5">
                  <c:v>77</c:v>
                </c:pt>
                <c:pt idx="6">
                  <c:v>66</c:v>
                </c:pt>
                <c:pt idx="7">
                  <c:v>33</c:v>
                </c:pt>
                <c:pt idx="8">
                  <c:v>22</c:v>
                </c:pt>
                <c:pt idx="9">
                  <c:v>50</c:v>
                </c:pt>
                <c:pt idx="10">
                  <c:v>55</c:v>
                </c:pt>
                <c:pt idx="11">
                  <c:v>177</c:v>
                </c:pt>
                <c:pt idx="12">
                  <c:v>44</c:v>
                </c:pt>
                <c:pt idx="13">
                  <c:v>77</c:v>
                </c:pt>
                <c:pt idx="14">
                  <c:v>44</c:v>
                </c:pt>
                <c:pt idx="15">
                  <c:v>88</c:v>
                </c:pt>
                <c:pt idx="16">
                  <c:v>66</c:v>
                </c:pt>
                <c:pt idx="17">
                  <c:v>144</c:v>
                </c:pt>
                <c:pt idx="18">
                  <c:v>67</c:v>
                </c:pt>
                <c:pt idx="19">
                  <c:v>168</c:v>
                </c:pt>
                <c:pt idx="20">
                  <c:v>175</c:v>
                </c:pt>
                <c:pt idx="21">
                  <c:v>33</c:v>
                </c:pt>
                <c:pt idx="22">
                  <c:v>65</c:v>
                </c:pt>
                <c:pt idx="23">
                  <c:v>77</c:v>
                </c:pt>
                <c:pt idx="24">
                  <c:v>44</c:v>
                </c:pt>
                <c:pt idx="25">
                  <c:v>88</c:v>
                </c:pt>
                <c:pt idx="26">
                  <c:v>77</c:v>
                </c:pt>
                <c:pt idx="27">
                  <c:v>155</c:v>
                </c:pt>
                <c:pt idx="28">
                  <c:v>99</c:v>
                </c:pt>
                <c:pt idx="29">
                  <c:v>76</c:v>
                </c:pt>
                <c:pt idx="30">
                  <c:v>86</c:v>
                </c:pt>
                <c:pt idx="31">
                  <c:v>66</c:v>
                </c:pt>
                <c:pt idx="32">
                  <c:v>22</c:v>
                </c:pt>
                <c:pt idx="33">
                  <c:v>88</c:v>
                </c:pt>
                <c:pt idx="34">
                  <c:v>55</c:v>
                </c:pt>
                <c:pt idx="35">
                  <c:v>99</c:v>
                </c:pt>
                <c:pt idx="36">
                  <c:v>66</c:v>
                </c:pt>
                <c:pt idx="37">
                  <c:v>90</c:v>
                </c:pt>
                <c:pt idx="38">
                  <c:v>66</c:v>
                </c:pt>
                <c:pt idx="39">
                  <c:v>66</c:v>
                </c:pt>
                <c:pt idx="40">
                  <c:v>76</c:v>
                </c:pt>
                <c:pt idx="41">
                  <c:v>44</c:v>
                </c:pt>
                <c:pt idx="42">
                  <c:v>55</c:v>
                </c:pt>
                <c:pt idx="43">
                  <c:v>66</c:v>
                </c:pt>
                <c:pt idx="44">
                  <c:v>99</c:v>
                </c:pt>
                <c:pt idx="45">
                  <c:v>77</c:v>
                </c:pt>
                <c:pt idx="46">
                  <c:v>88</c:v>
                </c:pt>
                <c:pt idx="47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A7-4086-A8A3-4759E4F96244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Sum of Sci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Sheet4!$E$2:$E$50</c:f>
              <c:numCache>
                <c:formatCode>General</c:formatCode>
                <c:ptCount val="48"/>
                <c:pt idx="0">
                  <c:v>54</c:v>
                </c:pt>
                <c:pt idx="1">
                  <c:v>76</c:v>
                </c:pt>
                <c:pt idx="2">
                  <c:v>65.42</c:v>
                </c:pt>
                <c:pt idx="3">
                  <c:v>66</c:v>
                </c:pt>
                <c:pt idx="4">
                  <c:v>123</c:v>
                </c:pt>
                <c:pt idx="5">
                  <c:v>56</c:v>
                </c:pt>
                <c:pt idx="6">
                  <c:v>56</c:v>
                </c:pt>
                <c:pt idx="7">
                  <c:v>99</c:v>
                </c:pt>
                <c:pt idx="8">
                  <c:v>88</c:v>
                </c:pt>
                <c:pt idx="9">
                  <c:v>50</c:v>
                </c:pt>
                <c:pt idx="10">
                  <c:v>78</c:v>
                </c:pt>
                <c:pt idx="11">
                  <c:v>99</c:v>
                </c:pt>
                <c:pt idx="12">
                  <c:v>76</c:v>
                </c:pt>
                <c:pt idx="13">
                  <c:v>66</c:v>
                </c:pt>
                <c:pt idx="14">
                  <c:v>55</c:v>
                </c:pt>
                <c:pt idx="15">
                  <c:v>78</c:v>
                </c:pt>
                <c:pt idx="16">
                  <c:v>56</c:v>
                </c:pt>
                <c:pt idx="17">
                  <c:v>132</c:v>
                </c:pt>
                <c:pt idx="18">
                  <c:v>66</c:v>
                </c:pt>
                <c:pt idx="19">
                  <c:v>131</c:v>
                </c:pt>
                <c:pt idx="20">
                  <c:v>78</c:v>
                </c:pt>
                <c:pt idx="21">
                  <c:v>98</c:v>
                </c:pt>
                <c:pt idx="22">
                  <c:v>45</c:v>
                </c:pt>
                <c:pt idx="23">
                  <c:v>65</c:v>
                </c:pt>
                <c:pt idx="24">
                  <c:v>67</c:v>
                </c:pt>
                <c:pt idx="25">
                  <c:v>98</c:v>
                </c:pt>
                <c:pt idx="26">
                  <c:v>77</c:v>
                </c:pt>
                <c:pt idx="27">
                  <c:v>132</c:v>
                </c:pt>
                <c:pt idx="28">
                  <c:v>99</c:v>
                </c:pt>
                <c:pt idx="29">
                  <c:v>66</c:v>
                </c:pt>
                <c:pt idx="30">
                  <c:v>54</c:v>
                </c:pt>
                <c:pt idx="31">
                  <c:v>67</c:v>
                </c:pt>
                <c:pt idx="32">
                  <c:v>33</c:v>
                </c:pt>
                <c:pt idx="33">
                  <c:v>77</c:v>
                </c:pt>
                <c:pt idx="34">
                  <c:v>44</c:v>
                </c:pt>
                <c:pt idx="35">
                  <c:v>88</c:v>
                </c:pt>
                <c:pt idx="36">
                  <c:v>34</c:v>
                </c:pt>
                <c:pt idx="37">
                  <c:v>66</c:v>
                </c:pt>
                <c:pt idx="38">
                  <c:v>67</c:v>
                </c:pt>
                <c:pt idx="39">
                  <c:v>67</c:v>
                </c:pt>
                <c:pt idx="40">
                  <c:v>44</c:v>
                </c:pt>
                <c:pt idx="41">
                  <c:v>76</c:v>
                </c:pt>
                <c:pt idx="42">
                  <c:v>54</c:v>
                </c:pt>
                <c:pt idx="43">
                  <c:v>67</c:v>
                </c:pt>
                <c:pt idx="44">
                  <c:v>76</c:v>
                </c:pt>
                <c:pt idx="45">
                  <c:v>54</c:v>
                </c:pt>
                <c:pt idx="46">
                  <c:v>89</c:v>
                </c:pt>
                <c:pt idx="47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A7-4086-A8A3-4759E4F96244}"/>
            </c:ext>
          </c:extLst>
        </c:ser>
        <c:ser>
          <c:idx val="4"/>
          <c:order val="4"/>
          <c:tx>
            <c:strRef>
              <c:f>Sheet4!$F$1</c:f>
              <c:strCache>
                <c:ptCount val="1"/>
                <c:pt idx="0">
                  <c:v>Sum of Chem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Sheet4!$F$2:$F$50</c:f>
              <c:numCache>
                <c:formatCode>General</c:formatCode>
                <c:ptCount val="48"/>
                <c:pt idx="0">
                  <c:v>56</c:v>
                </c:pt>
                <c:pt idx="1">
                  <c:v>43</c:v>
                </c:pt>
                <c:pt idx="2">
                  <c:v>65.3</c:v>
                </c:pt>
                <c:pt idx="3">
                  <c:v>87</c:v>
                </c:pt>
                <c:pt idx="4">
                  <c:v>132</c:v>
                </c:pt>
                <c:pt idx="5">
                  <c:v>87</c:v>
                </c:pt>
                <c:pt idx="6">
                  <c:v>56</c:v>
                </c:pt>
                <c:pt idx="7">
                  <c:v>45</c:v>
                </c:pt>
                <c:pt idx="8">
                  <c:v>56</c:v>
                </c:pt>
                <c:pt idx="9">
                  <c:v>50</c:v>
                </c:pt>
                <c:pt idx="10">
                  <c:v>45</c:v>
                </c:pt>
                <c:pt idx="11">
                  <c:v>152</c:v>
                </c:pt>
                <c:pt idx="12">
                  <c:v>34</c:v>
                </c:pt>
                <c:pt idx="13">
                  <c:v>98</c:v>
                </c:pt>
                <c:pt idx="14">
                  <c:v>67</c:v>
                </c:pt>
                <c:pt idx="15">
                  <c:v>98</c:v>
                </c:pt>
                <c:pt idx="16">
                  <c:v>77</c:v>
                </c:pt>
                <c:pt idx="17">
                  <c:v>163</c:v>
                </c:pt>
                <c:pt idx="18">
                  <c:v>56</c:v>
                </c:pt>
                <c:pt idx="19">
                  <c:v>141</c:v>
                </c:pt>
                <c:pt idx="20">
                  <c:v>152</c:v>
                </c:pt>
                <c:pt idx="21">
                  <c:v>56</c:v>
                </c:pt>
                <c:pt idx="22">
                  <c:v>34</c:v>
                </c:pt>
                <c:pt idx="23">
                  <c:v>78</c:v>
                </c:pt>
                <c:pt idx="24">
                  <c:v>78</c:v>
                </c:pt>
                <c:pt idx="25">
                  <c:v>65</c:v>
                </c:pt>
                <c:pt idx="26">
                  <c:v>76</c:v>
                </c:pt>
                <c:pt idx="27">
                  <c:v>134</c:v>
                </c:pt>
                <c:pt idx="28">
                  <c:v>98</c:v>
                </c:pt>
                <c:pt idx="29">
                  <c:v>65</c:v>
                </c:pt>
                <c:pt idx="30">
                  <c:v>56</c:v>
                </c:pt>
                <c:pt idx="31">
                  <c:v>54</c:v>
                </c:pt>
                <c:pt idx="32">
                  <c:v>34</c:v>
                </c:pt>
                <c:pt idx="33">
                  <c:v>90</c:v>
                </c:pt>
                <c:pt idx="34">
                  <c:v>44</c:v>
                </c:pt>
                <c:pt idx="35">
                  <c:v>45</c:v>
                </c:pt>
                <c:pt idx="36">
                  <c:v>78</c:v>
                </c:pt>
                <c:pt idx="37">
                  <c:v>76</c:v>
                </c:pt>
                <c:pt idx="38">
                  <c:v>45</c:v>
                </c:pt>
                <c:pt idx="39">
                  <c:v>65</c:v>
                </c:pt>
                <c:pt idx="40">
                  <c:v>66</c:v>
                </c:pt>
                <c:pt idx="41">
                  <c:v>44</c:v>
                </c:pt>
                <c:pt idx="42">
                  <c:v>56</c:v>
                </c:pt>
                <c:pt idx="43">
                  <c:v>56</c:v>
                </c:pt>
                <c:pt idx="44">
                  <c:v>67</c:v>
                </c:pt>
                <c:pt idx="45">
                  <c:v>67</c:v>
                </c:pt>
                <c:pt idx="46">
                  <c:v>67</c:v>
                </c:pt>
                <c:pt idx="4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A7-4086-A8A3-4759E4F9624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75385999"/>
        <c:axId val="675386479"/>
        <c:axId val="684827311"/>
      </c:surface3DChart>
      <c:catAx>
        <c:axId val="675385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75386479"/>
        <c:crosses val="autoZero"/>
        <c:auto val="1"/>
        <c:lblAlgn val="ctr"/>
        <c:lblOffset val="100"/>
        <c:noMultiLvlLbl val="0"/>
      </c:catAx>
      <c:valAx>
        <c:axId val="67538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75385999"/>
        <c:crosses val="autoZero"/>
        <c:crossBetween val="midCat"/>
      </c:valAx>
      <c:serAx>
        <c:axId val="6848273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75386479"/>
        <c:crosses val="autoZero"/>
      </c:ser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[EXCEL.xlsx]Sheet4!PivotTable2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</a:t>
            </a:r>
            <a:r>
              <a:rPr lang="en-US" baseline="0"/>
              <a:t> marks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Sum of 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Sheet4!$B$2:$B$50</c:f>
              <c:numCache>
                <c:formatCode>General</c:formatCode>
                <c:ptCount val="48"/>
                <c:pt idx="0">
                  <c:v>45</c:v>
                </c:pt>
                <c:pt idx="1">
                  <c:v>67</c:v>
                </c:pt>
                <c:pt idx="2">
                  <c:v>70.319999999999993</c:v>
                </c:pt>
                <c:pt idx="3">
                  <c:v>67</c:v>
                </c:pt>
                <c:pt idx="4">
                  <c:v>112</c:v>
                </c:pt>
                <c:pt idx="5">
                  <c:v>76</c:v>
                </c:pt>
                <c:pt idx="6">
                  <c:v>90</c:v>
                </c:pt>
                <c:pt idx="7">
                  <c:v>88</c:v>
                </c:pt>
                <c:pt idx="8">
                  <c:v>78</c:v>
                </c:pt>
                <c:pt idx="9">
                  <c:v>50</c:v>
                </c:pt>
                <c:pt idx="10">
                  <c:v>67</c:v>
                </c:pt>
                <c:pt idx="11">
                  <c:v>153</c:v>
                </c:pt>
                <c:pt idx="12">
                  <c:v>23</c:v>
                </c:pt>
                <c:pt idx="13">
                  <c:v>67</c:v>
                </c:pt>
                <c:pt idx="14">
                  <c:v>77</c:v>
                </c:pt>
                <c:pt idx="15">
                  <c:v>87</c:v>
                </c:pt>
                <c:pt idx="16">
                  <c:v>45</c:v>
                </c:pt>
                <c:pt idx="17">
                  <c:v>170</c:v>
                </c:pt>
                <c:pt idx="18">
                  <c:v>45</c:v>
                </c:pt>
                <c:pt idx="19">
                  <c:v>131</c:v>
                </c:pt>
                <c:pt idx="20">
                  <c:v>119</c:v>
                </c:pt>
                <c:pt idx="21">
                  <c:v>44</c:v>
                </c:pt>
                <c:pt idx="22">
                  <c:v>78</c:v>
                </c:pt>
                <c:pt idx="23">
                  <c:v>64</c:v>
                </c:pt>
                <c:pt idx="24">
                  <c:v>56</c:v>
                </c:pt>
                <c:pt idx="25">
                  <c:v>90</c:v>
                </c:pt>
                <c:pt idx="26">
                  <c:v>87</c:v>
                </c:pt>
                <c:pt idx="27">
                  <c:v>155</c:v>
                </c:pt>
                <c:pt idx="28">
                  <c:v>98</c:v>
                </c:pt>
                <c:pt idx="29">
                  <c:v>72.5</c:v>
                </c:pt>
                <c:pt idx="30">
                  <c:v>89</c:v>
                </c:pt>
                <c:pt idx="31">
                  <c:v>73</c:v>
                </c:pt>
                <c:pt idx="32">
                  <c:v>23</c:v>
                </c:pt>
                <c:pt idx="33">
                  <c:v>67</c:v>
                </c:pt>
                <c:pt idx="34">
                  <c:v>89</c:v>
                </c:pt>
                <c:pt idx="35">
                  <c:v>98</c:v>
                </c:pt>
                <c:pt idx="36">
                  <c:v>67</c:v>
                </c:pt>
                <c:pt idx="37">
                  <c:v>89</c:v>
                </c:pt>
                <c:pt idx="38">
                  <c:v>65</c:v>
                </c:pt>
                <c:pt idx="39">
                  <c:v>45</c:v>
                </c:pt>
                <c:pt idx="40">
                  <c:v>56</c:v>
                </c:pt>
                <c:pt idx="41">
                  <c:v>34</c:v>
                </c:pt>
                <c:pt idx="42">
                  <c:v>56</c:v>
                </c:pt>
                <c:pt idx="43">
                  <c:v>88</c:v>
                </c:pt>
                <c:pt idx="44">
                  <c:v>86</c:v>
                </c:pt>
                <c:pt idx="45">
                  <c:v>87</c:v>
                </c:pt>
                <c:pt idx="46">
                  <c:v>88</c:v>
                </c:pt>
                <c:pt idx="47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A-432F-8681-EF6ED8EBAF93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Sum of Eng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Sheet4!$C$2:$C$50</c:f>
              <c:numCache>
                <c:formatCode>General</c:formatCode>
                <c:ptCount val="48"/>
                <c:pt idx="0">
                  <c:v>88</c:v>
                </c:pt>
                <c:pt idx="1">
                  <c:v>66</c:v>
                </c:pt>
                <c:pt idx="2">
                  <c:v>64.12</c:v>
                </c:pt>
                <c:pt idx="3">
                  <c:v>33</c:v>
                </c:pt>
                <c:pt idx="4">
                  <c:v>152</c:v>
                </c:pt>
                <c:pt idx="5">
                  <c:v>90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50</c:v>
                </c:pt>
                <c:pt idx="10">
                  <c:v>54</c:v>
                </c:pt>
                <c:pt idx="11">
                  <c:v>89</c:v>
                </c:pt>
                <c:pt idx="12">
                  <c:v>77</c:v>
                </c:pt>
                <c:pt idx="13">
                  <c:v>56</c:v>
                </c:pt>
                <c:pt idx="14">
                  <c:v>66</c:v>
                </c:pt>
                <c:pt idx="15">
                  <c:v>57</c:v>
                </c:pt>
                <c:pt idx="16">
                  <c:v>64</c:v>
                </c:pt>
                <c:pt idx="17">
                  <c:v>111</c:v>
                </c:pt>
                <c:pt idx="18">
                  <c:v>54</c:v>
                </c:pt>
                <c:pt idx="19">
                  <c:v>153</c:v>
                </c:pt>
                <c:pt idx="20">
                  <c:v>109</c:v>
                </c:pt>
                <c:pt idx="21">
                  <c:v>66</c:v>
                </c:pt>
                <c:pt idx="22">
                  <c:v>87</c:v>
                </c:pt>
                <c:pt idx="23">
                  <c:v>66</c:v>
                </c:pt>
                <c:pt idx="24">
                  <c:v>44</c:v>
                </c:pt>
                <c:pt idx="25">
                  <c:v>55</c:v>
                </c:pt>
                <c:pt idx="26">
                  <c:v>45</c:v>
                </c:pt>
                <c:pt idx="27">
                  <c:v>174</c:v>
                </c:pt>
                <c:pt idx="28">
                  <c:v>99</c:v>
                </c:pt>
                <c:pt idx="29">
                  <c:v>64.5</c:v>
                </c:pt>
                <c:pt idx="30">
                  <c:v>77</c:v>
                </c:pt>
                <c:pt idx="31">
                  <c:v>88</c:v>
                </c:pt>
                <c:pt idx="32">
                  <c:v>33</c:v>
                </c:pt>
                <c:pt idx="33">
                  <c:v>76</c:v>
                </c:pt>
                <c:pt idx="34">
                  <c:v>77</c:v>
                </c:pt>
                <c:pt idx="35">
                  <c:v>44</c:v>
                </c:pt>
                <c:pt idx="36">
                  <c:v>99</c:v>
                </c:pt>
                <c:pt idx="37">
                  <c:v>86</c:v>
                </c:pt>
                <c:pt idx="38">
                  <c:v>55</c:v>
                </c:pt>
                <c:pt idx="39">
                  <c:v>55</c:v>
                </c:pt>
                <c:pt idx="40">
                  <c:v>64</c:v>
                </c:pt>
                <c:pt idx="41">
                  <c:v>54</c:v>
                </c:pt>
                <c:pt idx="42">
                  <c:v>55</c:v>
                </c:pt>
                <c:pt idx="43">
                  <c:v>87</c:v>
                </c:pt>
                <c:pt idx="44">
                  <c:v>45</c:v>
                </c:pt>
                <c:pt idx="45">
                  <c:v>66</c:v>
                </c:pt>
                <c:pt idx="46">
                  <c:v>34</c:v>
                </c:pt>
                <c:pt idx="47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DA-432F-8681-EF6ED8EBAF93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Sum of Kisw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Sheet4!$D$2:$D$50</c:f>
              <c:numCache>
                <c:formatCode>General</c:formatCode>
                <c:ptCount val="48"/>
                <c:pt idx="0">
                  <c:v>55</c:v>
                </c:pt>
                <c:pt idx="1">
                  <c:v>80</c:v>
                </c:pt>
                <c:pt idx="2">
                  <c:v>70.52</c:v>
                </c:pt>
                <c:pt idx="3">
                  <c:v>88</c:v>
                </c:pt>
                <c:pt idx="4">
                  <c:v>164</c:v>
                </c:pt>
                <c:pt idx="5">
                  <c:v>77</c:v>
                </c:pt>
                <c:pt idx="6">
                  <c:v>66</c:v>
                </c:pt>
                <c:pt idx="7">
                  <c:v>33</c:v>
                </c:pt>
                <c:pt idx="8">
                  <c:v>22</c:v>
                </c:pt>
                <c:pt idx="9">
                  <c:v>50</c:v>
                </c:pt>
                <c:pt idx="10">
                  <c:v>55</c:v>
                </c:pt>
                <c:pt idx="11">
                  <c:v>177</c:v>
                </c:pt>
                <c:pt idx="12">
                  <c:v>44</c:v>
                </c:pt>
                <c:pt idx="13">
                  <c:v>77</c:v>
                </c:pt>
                <c:pt idx="14">
                  <c:v>44</c:v>
                </c:pt>
                <c:pt idx="15">
                  <c:v>88</c:v>
                </c:pt>
                <c:pt idx="16">
                  <c:v>66</c:v>
                </c:pt>
                <c:pt idx="17">
                  <c:v>144</c:v>
                </c:pt>
                <c:pt idx="18">
                  <c:v>67</c:v>
                </c:pt>
                <c:pt idx="19">
                  <c:v>168</c:v>
                </c:pt>
                <c:pt idx="20">
                  <c:v>175</c:v>
                </c:pt>
                <c:pt idx="21">
                  <c:v>33</c:v>
                </c:pt>
                <c:pt idx="22">
                  <c:v>65</c:v>
                </c:pt>
                <c:pt idx="23">
                  <c:v>77</c:v>
                </c:pt>
                <c:pt idx="24">
                  <c:v>44</c:v>
                </c:pt>
                <c:pt idx="25">
                  <c:v>88</c:v>
                </c:pt>
                <c:pt idx="26">
                  <c:v>77</c:v>
                </c:pt>
                <c:pt idx="27">
                  <c:v>155</c:v>
                </c:pt>
                <c:pt idx="28">
                  <c:v>99</c:v>
                </c:pt>
                <c:pt idx="29">
                  <c:v>76</c:v>
                </c:pt>
                <c:pt idx="30">
                  <c:v>86</c:v>
                </c:pt>
                <c:pt idx="31">
                  <c:v>66</c:v>
                </c:pt>
                <c:pt idx="32">
                  <c:v>22</c:v>
                </c:pt>
                <c:pt idx="33">
                  <c:v>88</c:v>
                </c:pt>
                <c:pt idx="34">
                  <c:v>55</c:v>
                </c:pt>
                <c:pt idx="35">
                  <c:v>99</c:v>
                </c:pt>
                <c:pt idx="36">
                  <c:v>66</c:v>
                </c:pt>
                <c:pt idx="37">
                  <c:v>90</c:v>
                </c:pt>
                <c:pt idx="38">
                  <c:v>66</c:v>
                </c:pt>
                <c:pt idx="39">
                  <c:v>66</c:v>
                </c:pt>
                <c:pt idx="40">
                  <c:v>76</c:v>
                </c:pt>
                <c:pt idx="41">
                  <c:v>44</c:v>
                </c:pt>
                <c:pt idx="42">
                  <c:v>55</c:v>
                </c:pt>
                <c:pt idx="43">
                  <c:v>66</c:v>
                </c:pt>
                <c:pt idx="44">
                  <c:v>99</c:v>
                </c:pt>
                <c:pt idx="45">
                  <c:v>77</c:v>
                </c:pt>
                <c:pt idx="46">
                  <c:v>88</c:v>
                </c:pt>
                <c:pt idx="47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DA-432F-8681-EF6ED8EBAF93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Sum of Sci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Sheet4!$E$2:$E$50</c:f>
              <c:numCache>
                <c:formatCode>General</c:formatCode>
                <c:ptCount val="48"/>
                <c:pt idx="0">
                  <c:v>54</c:v>
                </c:pt>
                <c:pt idx="1">
                  <c:v>76</c:v>
                </c:pt>
                <c:pt idx="2">
                  <c:v>65.42</c:v>
                </c:pt>
                <c:pt idx="3">
                  <c:v>66</c:v>
                </c:pt>
                <c:pt idx="4">
                  <c:v>123</c:v>
                </c:pt>
                <c:pt idx="5">
                  <c:v>56</c:v>
                </c:pt>
                <c:pt idx="6">
                  <c:v>56</c:v>
                </c:pt>
                <c:pt idx="7">
                  <c:v>99</c:v>
                </c:pt>
                <c:pt idx="8">
                  <c:v>88</c:v>
                </c:pt>
                <c:pt idx="9">
                  <c:v>50</c:v>
                </c:pt>
                <c:pt idx="10">
                  <c:v>78</c:v>
                </c:pt>
                <c:pt idx="11">
                  <c:v>99</c:v>
                </c:pt>
                <c:pt idx="12">
                  <c:v>76</c:v>
                </c:pt>
                <c:pt idx="13">
                  <c:v>66</c:v>
                </c:pt>
                <c:pt idx="14">
                  <c:v>55</c:v>
                </c:pt>
                <c:pt idx="15">
                  <c:v>78</c:v>
                </c:pt>
                <c:pt idx="16">
                  <c:v>56</c:v>
                </c:pt>
                <c:pt idx="17">
                  <c:v>132</c:v>
                </c:pt>
                <c:pt idx="18">
                  <c:v>66</c:v>
                </c:pt>
                <c:pt idx="19">
                  <c:v>131</c:v>
                </c:pt>
                <c:pt idx="20">
                  <c:v>78</c:v>
                </c:pt>
                <c:pt idx="21">
                  <c:v>98</c:v>
                </c:pt>
                <c:pt idx="22">
                  <c:v>45</c:v>
                </c:pt>
                <c:pt idx="23">
                  <c:v>65</c:v>
                </c:pt>
                <c:pt idx="24">
                  <c:v>67</c:v>
                </c:pt>
                <c:pt idx="25">
                  <c:v>98</c:v>
                </c:pt>
                <c:pt idx="26">
                  <c:v>77</c:v>
                </c:pt>
                <c:pt idx="27">
                  <c:v>132</c:v>
                </c:pt>
                <c:pt idx="28">
                  <c:v>99</c:v>
                </c:pt>
                <c:pt idx="29">
                  <c:v>66</c:v>
                </c:pt>
                <c:pt idx="30">
                  <c:v>54</c:v>
                </c:pt>
                <c:pt idx="31">
                  <c:v>67</c:v>
                </c:pt>
                <c:pt idx="32">
                  <c:v>33</c:v>
                </c:pt>
                <c:pt idx="33">
                  <c:v>77</c:v>
                </c:pt>
                <c:pt idx="34">
                  <c:v>44</c:v>
                </c:pt>
                <c:pt idx="35">
                  <c:v>88</c:v>
                </c:pt>
                <c:pt idx="36">
                  <c:v>34</c:v>
                </c:pt>
                <c:pt idx="37">
                  <c:v>66</c:v>
                </c:pt>
                <c:pt idx="38">
                  <c:v>67</c:v>
                </c:pt>
                <c:pt idx="39">
                  <c:v>67</c:v>
                </c:pt>
                <c:pt idx="40">
                  <c:v>44</c:v>
                </c:pt>
                <c:pt idx="41">
                  <c:v>76</c:v>
                </c:pt>
                <c:pt idx="42">
                  <c:v>54</c:v>
                </c:pt>
                <c:pt idx="43">
                  <c:v>67</c:v>
                </c:pt>
                <c:pt idx="44">
                  <c:v>76</c:v>
                </c:pt>
                <c:pt idx="45">
                  <c:v>54</c:v>
                </c:pt>
                <c:pt idx="46">
                  <c:v>89</c:v>
                </c:pt>
                <c:pt idx="47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DA-432F-8681-EF6ED8EBAF93}"/>
            </c:ext>
          </c:extLst>
        </c:ser>
        <c:ser>
          <c:idx val="4"/>
          <c:order val="4"/>
          <c:tx>
            <c:strRef>
              <c:f>Sheet4!$F$1</c:f>
              <c:strCache>
                <c:ptCount val="1"/>
                <c:pt idx="0">
                  <c:v>Sum of Chem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Sheet4!$F$2:$F$50</c:f>
              <c:numCache>
                <c:formatCode>General</c:formatCode>
                <c:ptCount val="48"/>
                <c:pt idx="0">
                  <c:v>56</c:v>
                </c:pt>
                <c:pt idx="1">
                  <c:v>43</c:v>
                </c:pt>
                <c:pt idx="2">
                  <c:v>65.3</c:v>
                </c:pt>
                <c:pt idx="3">
                  <c:v>87</c:v>
                </c:pt>
                <c:pt idx="4">
                  <c:v>132</c:v>
                </c:pt>
                <c:pt idx="5">
                  <c:v>87</c:v>
                </c:pt>
                <c:pt idx="6">
                  <c:v>56</c:v>
                </c:pt>
                <c:pt idx="7">
                  <c:v>45</c:v>
                </c:pt>
                <c:pt idx="8">
                  <c:v>56</c:v>
                </c:pt>
                <c:pt idx="9">
                  <c:v>50</c:v>
                </c:pt>
                <c:pt idx="10">
                  <c:v>45</c:v>
                </c:pt>
                <c:pt idx="11">
                  <c:v>152</c:v>
                </c:pt>
                <c:pt idx="12">
                  <c:v>34</c:v>
                </c:pt>
                <c:pt idx="13">
                  <c:v>98</c:v>
                </c:pt>
                <c:pt idx="14">
                  <c:v>67</c:v>
                </c:pt>
                <c:pt idx="15">
                  <c:v>98</c:v>
                </c:pt>
                <c:pt idx="16">
                  <c:v>77</c:v>
                </c:pt>
                <c:pt idx="17">
                  <c:v>163</c:v>
                </c:pt>
                <c:pt idx="18">
                  <c:v>56</c:v>
                </c:pt>
                <c:pt idx="19">
                  <c:v>141</c:v>
                </c:pt>
                <c:pt idx="20">
                  <c:v>152</c:v>
                </c:pt>
                <c:pt idx="21">
                  <c:v>56</c:v>
                </c:pt>
                <c:pt idx="22">
                  <c:v>34</c:v>
                </c:pt>
                <c:pt idx="23">
                  <c:v>78</c:v>
                </c:pt>
                <c:pt idx="24">
                  <c:v>78</c:v>
                </c:pt>
                <c:pt idx="25">
                  <c:v>65</c:v>
                </c:pt>
                <c:pt idx="26">
                  <c:v>76</c:v>
                </c:pt>
                <c:pt idx="27">
                  <c:v>134</c:v>
                </c:pt>
                <c:pt idx="28">
                  <c:v>98</c:v>
                </c:pt>
                <c:pt idx="29">
                  <c:v>65</c:v>
                </c:pt>
                <c:pt idx="30">
                  <c:v>56</c:v>
                </c:pt>
                <c:pt idx="31">
                  <c:v>54</c:v>
                </c:pt>
                <c:pt idx="32">
                  <c:v>34</c:v>
                </c:pt>
                <c:pt idx="33">
                  <c:v>90</c:v>
                </c:pt>
                <c:pt idx="34">
                  <c:v>44</c:v>
                </c:pt>
                <c:pt idx="35">
                  <c:v>45</c:v>
                </c:pt>
                <c:pt idx="36">
                  <c:v>78</c:v>
                </c:pt>
                <c:pt idx="37">
                  <c:v>76</c:v>
                </c:pt>
                <c:pt idx="38">
                  <c:v>45</c:v>
                </c:pt>
                <c:pt idx="39">
                  <c:v>65</c:v>
                </c:pt>
                <c:pt idx="40">
                  <c:v>66</c:v>
                </c:pt>
                <c:pt idx="41">
                  <c:v>44</c:v>
                </c:pt>
                <c:pt idx="42">
                  <c:v>56</c:v>
                </c:pt>
                <c:pt idx="43">
                  <c:v>56</c:v>
                </c:pt>
                <c:pt idx="44">
                  <c:v>67</c:v>
                </c:pt>
                <c:pt idx="45">
                  <c:v>67</c:v>
                </c:pt>
                <c:pt idx="46">
                  <c:v>67</c:v>
                </c:pt>
                <c:pt idx="47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DA-432F-8681-EF6ED8EBA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357199"/>
        <c:axId val="675360079"/>
      </c:lineChart>
      <c:catAx>
        <c:axId val="675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75360079"/>
        <c:crosses val="autoZero"/>
        <c:auto val="1"/>
        <c:lblAlgn val="ctr"/>
        <c:lblOffset val="100"/>
        <c:noMultiLvlLbl val="0"/>
      </c:catAx>
      <c:valAx>
        <c:axId val="67536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75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[EXCEL.xlsx]Sheet4!PivotTable2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Sum of 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Sheet4!$B$2:$B$50</c:f>
              <c:numCache>
                <c:formatCode>General</c:formatCode>
                <c:ptCount val="48"/>
                <c:pt idx="0">
                  <c:v>45</c:v>
                </c:pt>
                <c:pt idx="1">
                  <c:v>67</c:v>
                </c:pt>
                <c:pt idx="2">
                  <c:v>70.319999999999993</c:v>
                </c:pt>
                <c:pt idx="3">
                  <c:v>67</c:v>
                </c:pt>
                <c:pt idx="4">
                  <c:v>112</c:v>
                </c:pt>
                <c:pt idx="5">
                  <c:v>76</c:v>
                </c:pt>
                <c:pt idx="6">
                  <c:v>90</c:v>
                </c:pt>
                <c:pt idx="7">
                  <c:v>88</c:v>
                </c:pt>
                <c:pt idx="8">
                  <c:v>78</c:v>
                </c:pt>
                <c:pt idx="9">
                  <c:v>50</c:v>
                </c:pt>
                <c:pt idx="10">
                  <c:v>67</c:v>
                </c:pt>
                <c:pt idx="11">
                  <c:v>153</c:v>
                </c:pt>
                <c:pt idx="12">
                  <c:v>23</c:v>
                </c:pt>
                <c:pt idx="13">
                  <c:v>67</c:v>
                </c:pt>
                <c:pt idx="14">
                  <c:v>77</c:v>
                </c:pt>
                <c:pt idx="15">
                  <c:v>87</c:v>
                </c:pt>
                <c:pt idx="16">
                  <c:v>45</c:v>
                </c:pt>
                <c:pt idx="17">
                  <c:v>170</c:v>
                </c:pt>
                <c:pt idx="18">
                  <c:v>45</c:v>
                </c:pt>
                <c:pt idx="19">
                  <c:v>131</c:v>
                </c:pt>
                <c:pt idx="20">
                  <c:v>119</c:v>
                </c:pt>
                <c:pt idx="21">
                  <c:v>44</c:v>
                </c:pt>
                <c:pt idx="22">
                  <c:v>78</c:v>
                </c:pt>
                <c:pt idx="23">
                  <c:v>64</c:v>
                </c:pt>
                <c:pt idx="24">
                  <c:v>56</c:v>
                </c:pt>
                <c:pt idx="25">
                  <c:v>90</c:v>
                </c:pt>
                <c:pt idx="26">
                  <c:v>87</c:v>
                </c:pt>
                <c:pt idx="27">
                  <c:v>155</c:v>
                </c:pt>
                <c:pt idx="28">
                  <c:v>98</c:v>
                </c:pt>
                <c:pt idx="29">
                  <c:v>72.5</c:v>
                </c:pt>
                <c:pt idx="30">
                  <c:v>89</c:v>
                </c:pt>
                <c:pt idx="31">
                  <c:v>73</c:v>
                </c:pt>
                <c:pt idx="32">
                  <c:v>23</c:v>
                </c:pt>
                <c:pt idx="33">
                  <c:v>67</c:v>
                </c:pt>
                <c:pt idx="34">
                  <c:v>89</c:v>
                </c:pt>
                <c:pt idx="35">
                  <c:v>98</c:v>
                </c:pt>
                <c:pt idx="36">
                  <c:v>67</c:v>
                </c:pt>
                <c:pt idx="37">
                  <c:v>89</c:v>
                </c:pt>
                <c:pt idx="38">
                  <c:v>65</c:v>
                </c:pt>
                <c:pt idx="39">
                  <c:v>45</c:v>
                </c:pt>
                <c:pt idx="40">
                  <c:v>56</c:v>
                </c:pt>
                <c:pt idx="41">
                  <c:v>34</c:v>
                </c:pt>
                <c:pt idx="42">
                  <c:v>56</c:v>
                </c:pt>
                <c:pt idx="43">
                  <c:v>88</c:v>
                </c:pt>
                <c:pt idx="44">
                  <c:v>86</c:v>
                </c:pt>
                <c:pt idx="45">
                  <c:v>87</c:v>
                </c:pt>
                <c:pt idx="46">
                  <c:v>88</c:v>
                </c:pt>
                <c:pt idx="47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6-4C35-9FBD-0F256AF5FB11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Sum of Eng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Sheet4!$C$2:$C$50</c:f>
              <c:numCache>
                <c:formatCode>General</c:formatCode>
                <c:ptCount val="48"/>
                <c:pt idx="0">
                  <c:v>88</c:v>
                </c:pt>
                <c:pt idx="1">
                  <c:v>66</c:v>
                </c:pt>
                <c:pt idx="2">
                  <c:v>64.12</c:v>
                </c:pt>
                <c:pt idx="3">
                  <c:v>33</c:v>
                </c:pt>
                <c:pt idx="4">
                  <c:v>152</c:v>
                </c:pt>
                <c:pt idx="5">
                  <c:v>90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50</c:v>
                </c:pt>
                <c:pt idx="10">
                  <c:v>54</c:v>
                </c:pt>
                <c:pt idx="11">
                  <c:v>89</c:v>
                </c:pt>
                <c:pt idx="12">
                  <c:v>77</c:v>
                </c:pt>
                <c:pt idx="13">
                  <c:v>56</c:v>
                </c:pt>
                <c:pt idx="14">
                  <c:v>66</c:v>
                </c:pt>
                <c:pt idx="15">
                  <c:v>57</c:v>
                </c:pt>
                <c:pt idx="16">
                  <c:v>64</c:v>
                </c:pt>
                <c:pt idx="17">
                  <c:v>111</c:v>
                </c:pt>
                <c:pt idx="18">
                  <c:v>54</c:v>
                </c:pt>
                <c:pt idx="19">
                  <c:v>153</c:v>
                </c:pt>
                <c:pt idx="20">
                  <c:v>109</c:v>
                </c:pt>
                <c:pt idx="21">
                  <c:v>66</c:v>
                </c:pt>
                <c:pt idx="22">
                  <c:v>87</c:v>
                </c:pt>
                <c:pt idx="23">
                  <c:v>66</c:v>
                </c:pt>
                <c:pt idx="24">
                  <c:v>44</c:v>
                </c:pt>
                <c:pt idx="25">
                  <c:v>55</c:v>
                </c:pt>
                <c:pt idx="26">
                  <c:v>45</c:v>
                </c:pt>
                <c:pt idx="27">
                  <c:v>174</c:v>
                </c:pt>
                <c:pt idx="28">
                  <c:v>99</c:v>
                </c:pt>
                <c:pt idx="29">
                  <c:v>64.5</c:v>
                </c:pt>
                <c:pt idx="30">
                  <c:v>77</c:v>
                </c:pt>
                <c:pt idx="31">
                  <c:v>88</c:v>
                </c:pt>
                <c:pt idx="32">
                  <c:v>33</c:v>
                </c:pt>
                <c:pt idx="33">
                  <c:v>76</c:v>
                </c:pt>
                <c:pt idx="34">
                  <c:v>77</c:v>
                </c:pt>
                <c:pt idx="35">
                  <c:v>44</c:v>
                </c:pt>
                <c:pt idx="36">
                  <c:v>99</c:v>
                </c:pt>
                <c:pt idx="37">
                  <c:v>86</c:v>
                </c:pt>
                <c:pt idx="38">
                  <c:v>55</c:v>
                </c:pt>
                <c:pt idx="39">
                  <c:v>55</c:v>
                </c:pt>
                <c:pt idx="40">
                  <c:v>64</c:v>
                </c:pt>
                <c:pt idx="41">
                  <c:v>54</c:v>
                </c:pt>
                <c:pt idx="42">
                  <c:v>55</c:v>
                </c:pt>
                <c:pt idx="43">
                  <c:v>87</c:v>
                </c:pt>
                <c:pt idx="44">
                  <c:v>45</c:v>
                </c:pt>
                <c:pt idx="45">
                  <c:v>66</c:v>
                </c:pt>
                <c:pt idx="46">
                  <c:v>34</c:v>
                </c:pt>
                <c:pt idx="4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6-4C35-9FBD-0F256AF5FB11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Sum of Kisw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Sheet4!$D$2:$D$50</c:f>
              <c:numCache>
                <c:formatCode>General</c:formatCode>
                <c:ptCount val="48"/>
                <c:pt idx="0">
                  <c:v>55</c:v>
                </c:pt>
                <c:pt idx="1">
                  <c:v>80</c:v>
                </c:pt>
                <c:pt idx="2">
                  <c:v>70.52</c:v>
                </c:pt>
                <c:pt idx="3">
                  <c:v>88</c:v>
                </c:pt>
                <c:pt idx="4">
                  <c:v>164</c:v>
                </c:pt>
                <c:pt idx="5">
                  <c:v>77</c:v>
                </c:pt>
                <c:pt idx="6">
                  <c:v>66</c:v>
                </c:pt>
                <c:pt idx="7">
                  <c:v>33</c:v>
                </c:pt>
                <c:pt idx="8">
                  <c:v>22</c:v>
                </c:pt>
                <c:pt idx="9">
                  <c:v>50</c:v>
                </c:pt>
                <c:pt idx="10">
                  <c:v>55</c:v>
                </c:pt>
                <c:pt idx="11">
                  <c:v>177</c:v>
                </c:pt>
                <c:pt idx="12">
                  <c:v>44</c:v>
                </c:pt>
                <c:pt idx="13">
                  <c:v>77</c:v>
                </c:pt>
                <c:pt idx="14">
                  <c:v>44</c:v>
                </c:pt>
                <c:pt idx="15">
                  <c:v>88</c:v>
                </c:pt>
                <c:pt idx="16">
                  <c:v>66</c:v>
                </c:pt>
                <c:pt idx="17">
                  <c:v>144</c:v>
                </c:pt>
                <c:pt idx="18">
                  <c:v>67</c:v>
                </c:pt>
                <c:pt idx="19">
                  <c:v>168</c:v>
                </c:pt>
                <c:pt idx="20">
                  <c:v>175</c:v>
                </c:pt>
                <c:pt idx="21">
                  <c:v>33</c:v>
                </c:pt>
                <c:pt idx="22">
                  <c:v>65</c:v>
                </c:pt>
                <c:pt idx="23">
                  <c:v>77</c:v>
                </c:pt>
                <c:pt idx="24">
                  <c:v>44</c:v>
                </c:pt>
                <c:pt idx="25">
                  <c:v>88</c:v>
                </c:pt>
                <c:pt idx="26">
                  <c:v>77</c:v>
                </c:pt>
                <c:pt idx="27">
                  <c:v>155</c:v>
                </c:pt>
                <c:pt idx="28">
                  <c:v>99</c:v>
                </c:pt>
                <c:pt idx="29">
                  <c:v>76</c:v>
                </c:pt>
                <c:pt idx="30">
                  <c:v>86</c:v>
                </c:pt>
                <c:pt idx="31">
                  <c:v>66</c:v>
                </c:pt>
                <c:pt idx="32">
                  <c:v>22</c:v>
                </c:pt>
                <c:pt idx="33">
                  <c:v>88</c:v>
                </c:pt>
                <c:pt idx="34">
                  <c:v>55</c:v>
                </c:pt>
                <c:pt idx="35">
                  <c:v>99</c:v>
                </c:pt>
                <c:pt idx="36">
                  <c:v>66</c:v>
                </c:pt>
                <c:pt idx="37">
                  <c:v>90</c:v>
                </c:pt>
                <c:pt idx="38">
                  <c:v>66</c:v>
                </c:pt>
                <c:pt idx="39">
                  <c:v>66</c:v>
                </c:pt>
                <c:pt idx="40">
                  <c:v>76</c:v>
                </c:pt>
                <c:pt idx="41">
                  <c:v>44</c:v>
                </c:pt>
                <c:pt idx="42">
                  <c:v>55</c:v>
                </c:pt>
                <c:pt idx="43">
                  <c:v>66</c:v>
                </c:pt>
                <c:pt idx="44">
                  <c:v>99</c:v>
                </c:pt>
                <c:pt idx="45">
                  <c:v>77</c:v>
                </c:pt>
                <c:pt idx="46">
                  <c:v>88</c:v>
                </c:pt>
                <c:pt idx="47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6-4C35-9FBD-0F256AF5FB11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Sum of Sci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Sheet4!$E$2:$E$50</c:f>
              <c:numCache>
                <c:formatCode>General</c:formatCode>
                <c:ptCount val="48"/>
                <c:pt idx="0">
                  <c:v>54</c:v>
                </c:pt>
                <c:pt idx="1">
                  <c:v>76</c:v>
                </c:pt>
                <c:pt idx="2">
                  <c:v>65.42</c:v>
                </c:pt>
                <c:pt idx="3">
                  <c:v>66</c:v>
                </c:pt>
                <c:pt idx="4">
                  <c:v>123</c:v>
                </c:pt>
                <c:pt idx="5">
                  <c:v>56</c:v>
                </c:pt>
                <c:pt idx="6">
                  <c:v>56</c:v>
                </c:pt>
                <c:pt idx="7">
                  <c:v>99</c:v>
                </c:pt>
                <c:pt idx="8">
                  <c:v>88</c:v>
                </c:pt>
                <c:pt idx="9">
                  <c:v>50</c:v>
                </c:pt>
                <c:pt idx="10">
                  <c:v>78</c:v>
                </c:pt>
                <c:pt idx="11">
                  <c:v>99</c:v>
                </c:pt>
                <c:pt idx="12">
                  <c:v>76</c:v>
                </c:pt>
                <c:pt idx="13">
                  <c:v>66</c:v>
                </c:pt>
                <c:pt idx="14">
                  <c:v>55</c:v>
                </c:pt>
                <c:pt idx="15">
                  <c:v>78</c:v>
                </c:pt>
                <c:pt idx="16">
                  <c:v>56</c:v>
                </c:pt>
                <c:pt idx="17">
                  <c:v>132</c:v>
                </c:pt>
                <c:pt idx="18">
                  <c:v>66</c:v>
                </c:pt>
                <c:pt idx="19">
                  <c:v>131</c:v>
                </c:pt>
                <c:pt idx="20">
                  <c:v>78</c:v>
                </c:pt>
                <c:pt idx="21">
                  <c:v>98</c:v>
                </c:pt>
                <c:pt idx="22">
                  <c:v>45</c:v>
                </c:pt>
                <c:pt idx="23">
                  <c:v>65</c:v>
                </c:pt>
                <c:pt idx="24">
                  <c:v>67</c:v>
                </c:pt>
                <c:pt idx="25">
                  <c:v>98</c:v>
                </c:pt>
                <c:pt idx="26">
                  <c:v>77</c:v>
                </c:pt>
                <c:pt idx="27">
                  <c:v>132</c:v>
                </c:pt>
                <c:pt idx="28">
                  <c:v>99</c:v>
                </c:pt>
                <c:pt idx="29">
                  <c:v>66</c:v>
                </c:pt>
                <c:pt idx="30">
                  <c:v>54</c:v>
                </c:pt>
                <c:pt idx="31">
                  <c:v>67</c:v>
                </c:pt>
                <c:pt idx="32">
                  <c:v>33</c:v>
                </c:pt>
                <c:pt idx="33">
                  <c:v>77</c:v>
                </c:pt>
                <c:pt idx="34">
                  <c:v>44</c:v>
                </c:pt>
                <c:pt idx="35">
                  <c:v>88</c:v>
                </c:pt>
                <c:pt idx="36">
                  <c:v>34</c:v>
                </c:pt>
                <c:pt idx="37">
                  <c:v>66</c:v>
                </c:pt>
                <c:pt idx="38">
                  <c:v>67</c:v>
                </c:pt>
                <c:pt idx="39">
                  <c:v>67</c:v>
                </c:pt>
                <c:pt idx="40">
                  <c:v>44</c:v>
                </c:pt>
                <c:pt idx="41">
                  <c:v>76</c:v>
                </c:pt>
                <c:pt idx="42">
                  <c:v>54</c:v>
                </c:pt>
                <c:pt idx="43">
                  <c:v>67</c:v>
                </c:pt>
                <c:pt idx="44">
                  <c:v>76</c:v>
                </c:pt>
                <c:pt idx="45">
                  <c:v>54</c:v>
                </c:pt>
                <c:pt idx="46">
                  <c:v>89</c:v>
                </c:pt>
                <c:pt idx="47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6-4C35-9FBD-0F256AF5FB11}"/>
            </c:ext>
          </c:extLst>
        </c:ser>
        <c:ser>
          <c:idx val="4"/>
          <c:order val="4"/>
          <c:tx>
            <c:strRef>
              <c:f>Sheet4!$F$1</c:f>
              <c:strCache>
                <c:ptCount val="1"/>
                <c:pt idx="0">
                  <c:v>Sum of Chem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Sheet4!$A$2:$A$50</c:f>
              <c:strCache>
                <c:ptCount val="48"/>
                <c:pt idx="0">
                  <c:v>alex kimani</c:v>
                </c:pt>
                <c:pt idx="1">
                  <c:v>ann wairimu</c:v>
                </c:pt>
                <c:pt idx="2">
                  <c:v>Average</c:v>
                </c:pt>
                <c:pt idx="3">
                  <c:v>beatrice wanjiru</c:v>
                </c:pt>
                <c:pt idx="4">
                  <c:v>brian mwangi</c:v>
                </c:pt>
                <c:pt idx="5">
                  <c:v>caroline akoth</c:v>
                </c:pt>
                <c:pt idx="6">
                  <c:v>caroline wanjiku</c:v>
                </c:pt>
                <c:pt idx="7">
                  <c:v>charles were</c:v>
                </c:pt>
                <c:pt idx="8">
                  <c:v>collins musyoka</c:v>
                </c:pt>
                <c:pt idx="9">
                  <c:v>count</c:v>
                </c:pt>
                <c:pt idx="10">
                  <c:v>daniel mutisa</c:v>
                </c:pt>
                <c:pt idx="11">
                  <c:v>david kiptoo</c:v>
                </c:pt>
                <c:pt idx="12">
                  <c:v>dennis barasa</c:v>
                </c:pt>
                <c:pt idx="13">
                  <c:v>diana wambua</c:v>
                </c:pt>
                <c:pt idx="14">
                  <c:v>edwin mutiso</c:v>
                </c:pt>
                <c:pt idx="15">
                  <c:v>emanuel kiprono</c:v>
                </c:pt>
                <c:pt idx="16">
                  <c:v>esther wambua</c:v>
                </c:pt>
                <c:pt idx="17">
                  <c:v>faith achieng </c:v>
                </c:pt>
                <c:pt idx="18">
                  <c:v>francis karanja</c:v>
                </c:pt>
                <c:pt idx="19">
                  <c:v>grace wanjiku</c:v>
                </c:pt>
                <c:pt idx="20">
                  <c:v>james kariuki</c:v>
                </c:pt>
                <c:pt idx="21">
                  <c:v>janet muthoni</c:v>
                </c:pt>
                <c:pt idx="22">
                  <c:v>john kamau</c:v>
                </c:pt>
                <c:pt idx="23">
                  <c:v>joseph  maina</c:v>
                </c:pt>
                <c:pt idx="24">
                  <c:v>kevin kibet</c:v>
                </c:pt>
                <c:pt idx="25">
                  <c:v>kevin kiptoo</c:v>
                </c:pt>
                <c:pt idx="26">
                  <c:v>lydia cherono</c:v>
                </c:pt>
                <c:pt idx="27">
                  <c:v>mary njeri</c:v>
                </c:pt>
                <c:pt idx="28">
                  <c:v>Max</c:v>
                </c:pt>
                <c:pt idx="29">
                  <c:v>median</c:v>
                </c:pt>
                <c:pt idx="30">
                  <c:v>mercy jepkosgei</c:v>
                </c:pt>
                <c:pt idx="31">
                  <c:v>michal ochieng</c:v>
                </c:pt>
                <c:pt idx="32">
                  <c:v>Min</c:v>
                </c:pt>
                <c:pt idx="33">
                  <c:v>nancy wanjala</c:v>
                </c:pt>
                <c:pt idx="34">
                  <c:v>oscar kipkemoi</c:v>
                </c:pt>
                <c:pt idx="35">
                  <c:v>pamela otieno</c:v>
                </c:pt>
                <c:pt idx="36">
                  <c:v>partrick muli</c:v>
                </c:pt>
                <c:pt idx="37">
                  <c:v>peter otieno</c:v>
                </c:pt>
                <c:pt idx="38">
                  <c:v>rebecca chepgeno</c:v>
                </c:pt>
                <c:pt idx="39">
                  <c:v>ruth  opiyo</c:v>
                </c:pt>
                <c:pt idx="40">
                  <c:v>ruth otieno</c:v>
                </c:pt>
                <c:pt idx="41">
                  <c:v>samuel kipchoge</c:v>
                </c:pt>
                <c:pt idx="42">
                  <c:v>sharon chebet</c:v>
                </c:pt>
                <c:pt idx="43">
                  <c:v>stella akinyi</c:v>
                </c:pt>
                <c:pt idx="44">
                  <c:v>susan wangari</c:v>
                </c:pt>
                <c:pt idx="45">
                  <c:v>timothy mwende</c:v>
                </c:pt>
                <c:pt idx="46">
                  <c:v>victor njoroge </c:v>
                </c:pt>
                <c:pt idx="47">
                  <c:v>vivian odhiambo</c:v>
                </c:pt>
              </c:strCache>
            </c:strRef>
          </c:cat>
          <c:val>
            <c:numRef>
              <c:f>Sheet4!$F$2:$F$50</c:f>
              <c:numCache>
                <c:formatCode>General</c:formatCode>
                <c:ptCount val="48"/>
                <c:pt idx="0">
                  <c:v>56</c:v>
                </c:pt>
                <c:pt idx="1">
                  <c:v>43</c:v>
                </c:pt>
                <c:pt idx="2">
                  <c:v>65.3</c:v>
                </c:pt>
                <c:pt idx="3">
                  <c:v>87</c:v>
                </c:pt>
                <c:pt idx="4">
                  <c:v>132</c:v>
                </c:pt>
                <c:pt idx="5">
                  <c:v>87</c:v>
                </c:pt>
                <c:pt idx="6">
                  <c:v>56</c:v>
                </c:pt>
                <c:pt idx="7">
                  <c:v>45</c:v>
                </c:pt>
                <c:pt idx="8">
                  <c:v>56</c:v>
                </c:pt>
                <c:pt idx="9">
                  <c:v>50</c:v>
                </c:pt>
                <c:pt idx="10">
                  <c:v>45</c:v>
                </c:pt>
                <c:pt idx="11">
                  <c:v>152</c:v>
                </c:pt>
                <c:pt idx="12">
                  <c:v>34</c:v>
                </c:pt>
                <c:pt idx="13">
                  <c:v>98</c:v>
                </c:pt>
                <c:pt idx="14">
                  <c:v>67</c:v>
                </c:pt>
                <c:pt idx="15">
                  <c:v>98</c:v>
                </c:pt>
                <c:pt idx="16">
                  <c:v>77</c:v>
                </c:pt>
                <c:pt idx="17">
                  <c:v>163</c:v>
                </c:pt>
                <c:pt idx="18">
                  <c:v>56</c:v>
                </c:pt>
                <c:pt idx="19">
                  <c:v>141</c:v>
                </c:pt>
                <c:pt idx="20">
                  <c:v>152</c:v>
                </c:pt>
                <c:pt idx="21">
                  <c:v>56</c:v>
                </c:pt>
                <c:pt idx="22">
                  <c:v>34</c:v>
                </c:pt>
                <c:pt idx="23">
                  <c:v>78</c:v>
                </c:pt>
                <c:pt idx="24">
                  <c:v>78</c:v>
                </c:pt>
                <c:pt idx="25">
                  <c:v>65</c:v>
                </c:pt>
                <c:pt idx="26">
                  <c:v>76</c:v>
                </c:pt>
                <c:pt idx="27">
                  <c:v>134</c:v>
                </c:pt>
                <c:pt idx="28">
                  <c:v>98</c:v>
                </c:pt>
                <c:pt idx="29">
                  <c:v>65</c:v>
                </c:pt>
                <c:pt idx="30">
                  <c:v>56</c:v>
                </c:pt>
                <c:pt idx="31">
                  <c:v>54</c:v>
                </c:pt>
                <c:pt idx="32">
                  <c:v>34</c:v>
                </c:pt>
                <c:pt idx="33">
                  <c:v>90</c:v>
                </c:pt>
                <c:pt idx="34">
                  <c:v>44</c:v>
                </c:pt>
                <c:pt idx="35">
                  <c:v>45</c:v>
                </c:pt>
                <c:pt idx="36">
                  <c:v>78</c:v>
                </c:pt>
                <c:pt idx="37">
                  <c:v>76</c:v>
                </c:pt>
                <c:pt idx="38">
                  <c:v>45</c:v>
                </c:pt>
                <c:pt idx="39">
                  <c:v>65</c:v>
                </c:pt>
                <c:pt idx="40">
                  <c:v>66</c:v>
                </c:pt>
                <c:pt idx="41">
                  <c:v>44</c:v>
                </c:pt>
                <c:pt idx="42">
                  <c:v>56</c:v>
                </c:pt>
                <c:pt idx="43">
                  <c:v>56</c:v>
                </c:pt>
                <c:pt idx="44">
                  <c:v>67</c:v>
                </c:pt>
                <c:pt idx="45">
                  <c:v>67</c:v>
                </c:pt>
                <c:pt idx="46">
                  <c:v>67</c:v>
                </c:pt>
                <c:pt idx="4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6-4C35-9FBD-0F256AF5F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368719"/>
        <c:axId val="675365839"/>
      </c:radarChart>
      <c:catAx>
        <c:axId val="67536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75365839"/>
        <c:crosses val="autoZero"/>
        <c:auto val="1"/>
        <c:lblAlgn val="ctr"/>
        <c:lblOffset val="100"/>
        <c:noMultiLvlLbl val="0"/>
      </c:catAx>
      <c:valAx>
        <c:axId val="67536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7536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6</xdr:row>
      <xdr:rowOff>41910</xdr:rowOff>
    </xdr:from>
    <xdr:to>
      <xdr:col>13</xdr:col>
      <xdr:colOff>472440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A1D85-F29F-3979-A06A-437FB6B21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91440</xdr:colOff>
      <xdr:row>11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5CC6A-177F-4EAB-833E-E4CC31487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4</xdr:col>
      <xdr:colOff>76200</xdr:colOff>
      <xdr:row>23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20914E-53FF-431C-9C15-1B14EC957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10</xdr:col>
      <xdr:colOff>457200</xdr:colOff>
      <xdr:row>14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504C5B-BB2B-42F7-B353-317C78AB9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83820</xdr:colOff>
      <xdr:row>16</xdr:row>
      <xdr:rowOff>45720</xdr:rowOff>
    </xdr:from>
    <xdr:to>
      <xdr:col>9</xdr:col>
      <xdr:colOff>495300</xdr:colOff>
      <xdr:row>25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746DAA-69B6-4669-A973-5F0638139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175260</xdr:colOff>
      <xdr:row>1</xdr:row>
      <xdr:rowOff>38100</xdr:rowOff>
    </xdr:from>
    <xdr:to>
      <xdr:col>15</xdr:col>
      <xdr:colOff>220980</xdr:colOff>
      <xdr:row>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2DBC0C-E2F4-44A8-B03B-FE15F7179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99060</xdr:colOff>
      <xdr:row>11</xdr:row>
      <xdr:rowOff>7620</xdr:rowOff>
    </xdr:from>
    <xdr:to>
      <xdr:col>15</xdr:col>
      <xdr:colOff>350520</xdr:colOff>
      <xdr:row>21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27BA17-56D8-444D-898F-E98D352D5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281940</xdr:colOff>
      <xdr:row>23</xdr:row>
      <xdr:rowOff>91440</xdr:rowOff>
    </xdr:from>
    <xdr:to>
      <xdr:col>15</xdr:col>
      <xdr:colOff>213360</xdr:colOff>
      <xdr:row>35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7870DA-71CB-4BDA-9AA2-8905898E9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!" refreshedDate="46316.882265740744" createdVersion="8" refreshedVersion="8" minRefreshableVersion="3" recordCount="56" xr:uid="{AED2D5C8-C3A3-426E-85F6-1F46DCCD9566}">
  <cacheSource type="worksheet">
    <worksheetSource ref="A1:G57" sheet="Sheet1"/>
  </cacheSource>
  <cacheFields count="7">
    <cacheField name="Student name" numFmtId="0">
      <sharedItems/>
    </cacheField>
    <cacheField name="Math" numFmtId="0">
      <sharedItems containsString="0" containsBlank="1" containsNumber="1" minValue="23" maxValue="98"/>
    </cacheField>
    <cacheField name="Eng" numFmtId="0">
      <sharedItems containsString="0" containsBlank="1" containsNumber="1" minValue="33" maxValue="99"/>
    </cacheField>
    <cacheField name="Kisw" numFmtId="0">
      <sharedItems containsString="0" containsBlank="1" containsNumber="1" minValue="22" maxValue="99"/>
    </cacheField>
    <cacheField name="Sci" numFmtId="0">
      <sharedItems containsString="0" containsBlank="1" containsNumber="1" minValue="33" maxValue="99"/>
    </cacheField>
    <cacheField name="Chem" numFmtId="0">
      <sharedItems containsString="0" containsBlank="1" containsNumber="1" minValue="34" maxValue="98"/>
    </cacheField>
    <cacheField name="Total marks" numFmtId="0">
      <sharedItems containsString="0" containsBlank="1" containsNumber="1" containsInteger="1" minValue="252" maxValue="4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!" refreshedDate="46316.886806481481" createdVersion="8" refreshedVersion="8" minRefreshableVersion="3" recordCount="55" xr:uid="{0EC224A8-E712-4A5D-8211-421699BC0F99}">
  <cacheSource type="worksheet">
    <worksheetSource ref="B1:G56" sheet="Sheet1"/>
  </cacheSource>
  <cacheFields count="6">
    <cacheField name="Math" numFmtId="0">
      <sharedItems containsSemiMixedTypes="0" containsString="0" containsNumber="1" minValue="23" maxValue="98"/>
    </cacheField>
    <cacheField name="Eng" numFmtId="0">
      <sharedItems containsSemiMixedTypes="0" containsString="0" containsNumber="1" minValue="33" maxValue="99"/>
    </cacheField>
    <cacheField name="Kisw" numFmtId="0">
      <sharedItems containsSemiMixedTypes="0" containsString="0" containsNumber="1" minValue="22" maxValue="99"/>
    </cacheField>
    <cacheField name="Sci" numFmtId="0">
      <sharedItems containsSemiMixedTypes="0" containsString="0" containsNumber="1" minValue="33" maxValue="99"/>
    </cacheField>
    <cacheField name="Chem" numFmtId="0">
      <sharedItems containsSemiMixedTypes="0" containsString="0" containsNumber="1" minValue="34" maxValue="98"/>
    </cacheField>
    <cacheField name="Total marks" numFmtId="0">
      <sharedItems containsString="0" containsBlank="1" containsNumber="1" containsInteger="1" minValue="252" maxValue="4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!" refreshedDate="46316.889054513886" createdVersion="8" refreshedVersion="8" minRefreshableVersion="3" recordCount="55" xr:uid="{5C13389E-20E4-40CF-949F-9EFC8D029F4D}">
  <cacheSource type="worksheet">
    <worksheetSource ref="A1:G56" sheet="Sheet1"/>
  </cacheSource>
  <cacheFields count="7">
    <cacheField name="Student name" numFmtId="0">
      <sharedItems count="48">
        <s v="brian mwangi"/>
        <s v="grace wanjiku"/>
        <s v="john kamau"/>
        <s v="mary njeri"/>
        <s v="peter otieno"/>
        <s v="faith achieng "/>
        <s v="david kiptoo"/>
        <s v="james kariuki"/>
        <s v="ruth otieno"/>
        <s v="esther wambua"/>
        <s v="daniel mutisa"/>
        <s v="samuel kipchoge"/>
        <s v="sharon chebet"/>
        <s v="vivian odhiambo"/>
        <s v="kevin kibet"/>
        <s v="collins musyoka"/>
        <s v="janet muthoni"/>
        <s v="dennis barasa"/>
        <s v="alex kimani"/>
        <s v="partrick muli"/>
        <s v="caroline akoth"/>
        <s v="emanuel kiprono"/>
        <s v="susan wangari"/>
        <s v="victor njoroge "/>
        <s v="diana wambua"/>
        <s v="nancy wanjala"/>
        <s v="stella akinyi"/>
        <s v="francis karanja"/>
        <s v="lydia cherono"/>
        <s v="beatrice wanjiru"/>
        <s v="pamela otieno"/>
        <s v="charles were"/>
        <s v="edwin mutiso"/>
        <s v="oscar kipkemoi"/>
        <s v="caroline wanjiku"/>
        <s v="timothy mwende"/>
        <s v="rebecca chepgeno"/>
        <s v="ruth  opiyo"/>
        <s v="joseph  maina"/>
        <s v="michal ochieng"/>
        <s v="kevin kiptoo"/>
        <s v="ann wairimu"/>
        <s v="mercy jepkosgei"/>
        <s v="Average"/>
        <s v="Max"/>
        <s v="Min"/>
        <s v="count"/>
        <s v="median"/>
      </sharedItems>
    </cacheField>
    <cacheField name="Math" numFmtId="0">
      <sharedItems containsSemiMixedTypes="0" containsString="0" containsNumber="1" minValue="23" maxValue="98"/>
    </cacheField>
    <cacheField name="Eng" numFmtId="0">
      <sharedItems containsSemiMixedTypes="0" containsString="0" containsNumber="1" minValue="33" maxValue="99"/>
    </cacheField>
    <cacheField name="Kisw" numFmtId="0">
      <sharedItems containsSemiMixedTypes="0" containsString="0" containsNumber="1" minValue="22" maxValue="99"/>
    </cacheField>
    <cacheField name="Sci" numFmtId="0">
      <sharedItems containsSemiMixedTypes="0" containsString="0" containsNumber="1" minValue="33" maxValue="99"/>
    </cacheField>
    <cacheField name="Chem" numFmtId="0">
      <sharedItems containsSemiMixedTypes="0" containsString="0" containsNumber="1" minValue="34" maxValue="98"/>
    </cacheField>
    <cacheField name="Total marks" numFmtId="0">
      <sharedItems containsString="0" containsBlank="1" containsNumber="1" containsInteger="1" minValue="252" maxValue="4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brian mwangi"/>
    <n v="56"/>
    <n v="86"/>
    <n v="76"/>
    <n v="67"/>
    <n v="65"/>
    <n v="350"/>
  </r>
  <r>
    <s v="grace wanjiku"/>
    <n v="76"/>
    <n v="76"/>
    <n v="69"/>
    <n v="53"/>
    <n v="54"/>
    <n v="328"/>
  </r>
  <r>
    <s v="john kamau"/>
    <n v="78"/>
    <n v="87"/>
    <n v="65"/>
    <n v="45"/>
    <n v="34"/>
    <n v="309"/>
  </r>
  <r>
    <s v="mary njeri"/>
    <n v="67"/>
    <n v="86"/>
    <n v="67"/>
    <n v="67"/>
    <n v="56"/>
    <n v="343"/>
  </r>
  <r>
    <s v="peter otieno"/>
    <n v="89"/>
    <n v="86"/>
    <n v="90"/>
    <n v="66"/>
    <n v="76"/>
    <n v="407"/>
  </r>
  <r>
    <s v="faith achieng "/>
    <n v="98"/>
    <n v="34"/>
    <n v="56"/>
    <n v="54"/>
    <n v="87"/>
    <n v="329"/>
  </r>
  <r>
    <s v="david kiptoo"/>
    <n v="98"/>
    <n v="56"/>
    <n v="78"/>
    <n v="34"/>
    <n v="87"/>
    <n v="353"/>
  </r>
  <r>
    <s v="james kariuki"/>
    <n v="76"/>
    <n v="65"/>
    <n v="98"/>
    <n v="33"/>
    <n v="87"/>
    <n v="359"/>
  </r>
  <r>
    <s v="ruth otieno"/>
    <n v="56"/>
    <n v="64"/>
    <n v="76"/>
    <n v="44"/>
    <n v="66"/>
    <n v="306"/>
  </r>
  <r>
    <s v="esther wambua"/>
    <n v="45"/>
    <n v="64"/>
    <n v="66"/>
    <n v="56"/>
    <n v="77"/>
    <n v="308"/>
  </r>
  <r>
    <s v="daniel mutisa"/>
    <n v="67"/>
    <n v="54"/>
    <n v="55"/>
    <n v="78"/>
    <n v="45"/>
    <n v="299"/>
  </r>
  <r>
    <s v="samuel kipchoge"/>
    <n v="34"/>
    <n v="54"/>
    <n v="44"/>
    <n v="76"/>
    <n v="44"/>
    <n v="252"/>
  </r>
  <r>
    <s v="sharon chebet"/>
    <n v="56"/>
    <n v="55"/>
    <n v="55"/>
    <n v="54"/>
    <n v="56"/>
    <n v="276"/>
  </r>
  <r>
    <s v="vivian odhiambo"/>
    <n v="76"/>
    <n v="33"/>
    <n v="33"/>
    <n v="45"/>
    <n v="67"/>
    <n v="254"/>
  </r>
  <r>
    <s v="kevin kibet"/>
    <n v="56"/>
    <n v="44"/>
    <n v="44"/>
    <n v="67"/>
    <n v="78"/>
    <n v="289"/>
  </r>
  <r>
    <s v="collins musyoka"/>
    <n v="78"/>
    <n v="55"/>
    <n v="22"/>
    <n v="88"/>
    <n v="56"/>
    <n v="299"/>
  </r>
  <r>
    <s v="janet muthoni"/>
    <n v="44"/>
    <n v="66"/>
    <n v="33"/>
    <n v="98"/>
    <n v="56"/>
    <n v="297"/>
  </r>
  <r>
    <s v="dennis barasa"/>
    <n v="23"/>
    <n v="77"/>
    <n v="44"/>
    <n v="76"/>
    <n v="34"/>
    <n v="254"/>
  </r>
  <r>
    <s v="alex kimani"/>
    <n v="45"/>
    <n v="88"/>
    <n v="55"/>
    <n v="54"/>
    <n v="56"/>
    <n v="298"/>
  </r>
  <r>
    <s v="partrick muli"/>
    <n v="67"/>
    <n v="99"/>
    <n v="66"/>
    <n v="34"/>
    <n v="78"/>
    <n v="344"/>
  </r>
  <r>
    <s v="caroline akoth"/>
    <n v="76"/>
    <n v="90"/>
    <n v="77"/>
    <n v="56"/>
    <n v="87"/>
    <n v="386"/>
  </r>
  <r>
    <s v="emanuel kiprono"/>
    <n v="87"/>
    <n v="57"/>
    <n v="88"/>
    <n v="78"/>
    <n v="98"/>
    <n v="408"/>
  </r>
  <r>
    <s v="susan wangari"/>
    <n v="86"/>
    <n v="45"/>
    <n v="99"/>
    <n v="76"/>
    <n v="67"/>
    <n v="373"/>
  </r>
  <r>
    <s v="victor njoroge "/>
    <n v="88"/>
    <n v="34"/>
    <n v="88"/>
    <n v="89"/>
    <n v="67"/>
    <n v="366"/>
  </r>
  <r>
    <s v="diana wambua"/>
    <n v="67"/>
    <n v="56"/>
    <n v="77"/>
    <n v="66"/>
    <n v="98"/>
    <n v="364"/>
  </r>
  <r>
    <s v="nancy wanjala"/>
    <n v="67"/>
    <n v="76"/>
    <n v="88"/>
    <n v="77"/>
    <n v="90"/>
    <n v="398"/>
  </r>
  <r>
    <s v="stella akinyi"/>
    <n v="88"/>
    <n v="87"/>
    <n v="66"/>
    <n v="67"/>
    <n v="56"/>
    <n v="364"/>
  </r>
  <r>
    <s v="francis karanja"/>
    <n v="45"/>
    <n v="54"/>
    <n v="67"/>
    <n v="66"/>
    <n v="56"/>
    <n v="288"/>
  </r>
  <r>
    <s v="lydia cherono"/>
    <n v="87"/>
    <n v="45"/>
    <n v="77"/>
    <n v="77"/>
    <n v="76"/>
    <n v="362"/>
  </r>
  <r>
    <s v="beatrice wanjiru"/>
    <n v="67"/>
    <n v="33"/>
    <n v="88"/>
    <n v="66"/>
    <n v="87"/>
    <n v="341"/>
  </r>
  <r>
    <s v="pamela otieno"/>
    <n v="98"/>
    <n v="44"/>
    <n v="99"/>
    <n v="88"/>
    <n v="45"/>
    <n v="374"/>
  </r>
  <r>
    <s v="charles were"/>
    <n v="88"/>
    <n v="55"/>
    <n v="33"/>
    <n v="99"/>
    <n v="45"/>
    <n v="320"/>
  </r>
  <r>
    <s v="edwin mutiso"/>
    <n v="77"/>
    <n v="66"/>
    <n v="44"/>
    <n v="55"/>
    <n v="67"/>
    <n v="309"/>
  </r>
  <r>
    <s v="oscar kipkemoi"/>
    <n v="89"/>
    <n v="77"/>
    <n v="55"/>
    <n v="44"/>
    <n v="44"/>
    <n v="309"/>
  </r>
  <r>
    <s v="caroline wanjiku"/>
    <n v="90"/>
    <n v="55"/>
    <n v="66"/>
    <n v="56"/>
    <n v="56"/>
    <n v="323"/>
  </r>
  <r>
    <s v="timothy mwende"/>
    <n v="87"/>
    <n v="66"/>
    <n v="77"/>
    <n v="54"/>
    <n v="67"/>
    <n v="351"/>
  </r>
  <r>
    <s v="rebecca chepgeno"/>
    <n v="65"/>
    <n v="55"/>
    <n v="66"/>
    <n v="67"/>
    <n v="45"/>
    <n v="298"/>
  </r>
  <r>
    <s v="brian mwangi"/>
    <n v="56"/>
    <n v="66"/>
    <n v="88"/>
    <n v="56"/>
    <n v="67"/>
    <n v="333"/>
  </r>
  <r>
    <s v="grace wanjiku"/>
    <n v="55"/>
    <n v="77"/>
    <n v="99"/>
    <n v="78"/>
    <n v="87"/>
    <n v="396"/>
  </r>
  <r>
    <s v="david kiptoo"/>
    <n v="55"/>
    <n v="33"/>
    <n v="99"/>
    <n v="65"/>
    <n v="65"/>
    <n v="317"/>
  </r>
  <r>
    <s v="james kariuki"/>
    <n v="43"/>
    <n v="44"/>
    <n v="77"/>
    <n v="45"/>
    <n v="65"/>
    <n v="274"/>
  </r>
  <r>
    <s v="ruth  opiyo"/>
    <n v="45"/>
    <n v="55"/>
    <n v="66"/>
    <n v="67"/>
    <n v="65"/>
    <n v="298"/>
  </r>
  <r>
    <s v="joseph  maina"/>
    <n v="64"/>
    <n v="66"/>
    <n v="77"/>
    <n v="65"/>
    <n v="78"/>
    <n v="350"/>
  </r>
  <r>
    <s v="faith achieng "/>
    <n v="72"/>
    <n v="77"/>
    <n v="88"/>
    <n v="78"/>
    <n v="76"/>
    <n v="391"/>
  </r>
  <r>
    <s v="michal ochieng"/>
    <n v="73"/>
    <n v="88"/>
    <n v="66"/>
    <n v="67"/>
    <n v="54"/>
    <n v="348"/>
  </r>
  <r>
    <s v="vivian odhiambo"/>
    <n v="82"/>
    <n v="90"/>
    <n v="77"/>
    <n v="87"/>
    <n v="56"/>
    <n v="392"/>
  </r>
  <r>
    <s v="kevin kiptoo"/>
    <n v="90"/>
    <n v="55"/>
    <n v="88"/>
    <n v="98"/>
    <n v="65"/>
    <n v="396"/>
  </r>
  <r>
    <s v="ann wairimu"/>
    <n v="67"/>
    <n v="66"/>
    <n v="80"/>
    <n v="76"/>
    <n v="43"/>
    <n v="332"/>
  </r>
  <r>
    <s v="mercy jepkosgei"/>
    <n v="89"/>
    <n v="77"/>
    <n v="86"/>
    <n v="54"/>
    <n v="56"/>
    <n v="362"/>
  </r>
  <r>
    <s v="mary njeri"/>
    <n v="88"/>
    <n v="88"/>
    <n v="88"/>
    <n v="65"/>
    <n v="78"/>
    <n v="407"/>
  </r>
  <r>
    <s v="Average"/>
    <n v="70.319999999999993"/>
    <n v="64.12"/>
    <n v="70.52"/>
    <n v="65.42"/>
    <n v="65.3"/>
    <m/>
  </r>
  <r>
    <s v="Max"/>
    <n v="98"/>
    <n v="99"/>
    <n v="99"/>
    <n v="99"/>
    <n v="98"/>
    <m/>
  </r>
  <r>
    <s v="Min"/>
    <n v="23"/>
    <n v="33"/>
    <n v="22"/>
    <n v="33"/>
    <n v="34"/>
    <m/>
  </r>
  <r>
    <s v="count"/>
    <n v="50"/>
    <n v="50"/>
    <n v="50"/>
    <n v="50"/>
    <n v="50"/>
    <m/>
  </r>
  <r>
    <s v="median"/>
    <n v="72.5"/>
    <n v="64.5"/>
    <n v="76"/>
    <n v="66"/>
    <n v="65"/>
    <m/>
  </r>
  <r>
    <s v="SUM IF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56"/>
    <n v="86"/>
    <n v="76"/>
    <n v="67"/>
    <n v="65"/>
    <n v="350"/>
  </r>
  <r>
    <n v="76"/>
    <n v="76"/>
    <n v="69"/>
    <n v="53"/>
    <n v="54"/>
    <n v="328"/>
  </r>
  <r>
    <n v="78"/>
    <n v="87"/>
    <n v="65"/>
    <n v="45"/>
    <n v="34"/>
    <n v="309"/>
  </r>
  <r>
    <n v="67"/>
    <n v="86"/>
    <n v="67"/>
    <n v="67"/>
    <n v="56"/>
    <n v="343"/>
  </r>
  <r>
    <n v="89"/>
    <n v="86"/>
    <n v="90"/>
    <n v="66"/>
    <n v="76"/>
    <n v="407"/>
  </r>
  <r>
    <n v="98"/>
    <n v="34"/>
    <n v="56"/>
    <n v="54"/>
    <n v="87"/>
    <n v="329"/>
  </r>
  <r>
    <n v="98"/>
    <n v="56"/>
    <n v="78"/>
    <n v="34"/>
    <n v="87"/>
    <n v="353"/>
  </r>
  <r>
    <n v="76"/>
    <n v="65"/>
    <n v="98"/>
    <n v="33"/>
    <n v="87"/>
    <n v="359"/>
  </r>
  <r>
    <n v="56"/>
    <n v="64"/>
    <n v="76"/>
    <n v="44"/>
    <n v="66"/>
    <n v="306"/>
  </r>
  <r>
    <n v="45"/>
    <n v="64"/>
    <n v="66"/>
    <n v="56"/>
    <n v="77"/>
    <n v="308"/>
  </r>
  <r>
    <n v="67"/>
    <n v="54"/>
    <n v="55"/>
    <n v="78"/>
    <n v="45"/>
    <n v="299"/>
  </r>
  <r>
    <n v="34"/>
    <n v="54"/>
    <n v="44"/>
    <n v="76"/>
    <n v="44"/>
    <n v="252"/>
  </r>
  <r>
    <n v="56"/>
    <n v="55"/>
    <n v="55"/>
    <n v="54"/>
    <n v="56"/>
    <n v="276"/>
  </r>
  <r>
    <n v="76"/>
    <n v="33"/>
    <n v="33"/>
    <n v="45"/>
    <n v="67"/>
    <n v="254"/>
  </r>
  <r>
    <n v="56"/>
    <n v="44"/>
    <n v="44"/>
    <n v="67"/>
    <n v="78"/>
    <n v="289"/>
  </r>
  <r>
    <n v="78"/>
    <n v="55"/>
    <n v="22"/>
    <n v="88"/>
    <n v="56"/>
    <n v="299"/>
  </r>
  <r>
    <n v="44"/>
    <n v="66"/>
    <n v="33"/>
    <n v="98"/>
    <n v="56"/>
    <n v="297"/>
  </r>
  <r>
    <n v="23"/>
    <n v="77"/>
    <n v="44"/>
    <n v="76"/>
    <n v="34"/>
    <n v="254"/>
  </r>
  <r>
    <n v="45"/>
    <n v="88"/>
    <n v="55"/>
    <n v="54"/>
    <n v="56"/>
    <n v="298"/>
  </r>
  <r>
    <n v="67"/>
    <n v="99"/>
    <n v="66"/>
    <n v="34"/>
    <n v="78"/>
    <n v="344"/>
  </r>
  <r>
    <n v="76"/>
    <n v="90"/>
    <n v="77"/>
    <n v="56"/>
    <n v="87"/>
    <n v="386"/>
  </r>
  <r>
    <n v="87"/>
    <n v="57"/>
    <n v="88"/>
    <n v="78"/>
    <n v="98"/>
    <n v="408"/>
  </r>
  <r>
    <n v="86"/>
    <n v="45"/>
    <n v="99"/>
    <n v="76"/>
    <n v="67"/>
    <n v="373"/>
  </r>
  <r>
    <n v="88"/>
    <n v="34"/>
    <n v="88"/>
    <n v="89"/>
    <n v="67"/>
    <n v="366"/>
  </r>
  <r>
    <n v="67"/>
    <n v="56"/>
    <n v="77"/>
    <n v="66"/>
    <n v="98"/>
    <n v="364"/>
  </r>
  <r>
    <n v="67"/>
    <n v="76"/>
    <n v="88"/>
    <n v="77"/>
    <n v="90"/>
    <n v="398"/>
  </r>
  <r>
    <n v="88"/>
    <n v="87"/>
    <n v="66"/>
    <n v="67"/>
    <n v="56"/>
    <n v="364"/>
  </r>
  <r>
    <n v="45"/>
    <n v="54"/>
    <n v="67"/>
    <n v="66"/>
    <n v="56"/>
    <n v="288"/>
  </r>
  <r>
    <n v="87"/>
    <n v="45"/>
    <n v="77"/>
    <n v="77"/>
    <n v="76"/>
    <n v="362"/>
  </r>
  <r>
    <n v="67"/>
    <n v="33"/>
    <n v="88"/>
    <n v="66"/>
    <n v="87"/>
    <n v="341"/>
  </r>
  <r>
    <n v="98"/>
    <n v="44"/>
    <n v="99"/>
    <n v="88"/>
    <n v="45"/>
    <n v="374"/>
  </r>
  <r>
    <n v="88"/>
    <n v="55"/>
    <n v="33"/>
    <n v="99"/>
    <n v="45"/>
    <n v="320"/>
  </r>
  <r>
    <n v="77"/>
    <n v="66"/>
    <n v="44"/>
    <n v="55"/>
    <n v="67"/>
    <n v="309"/>
  </r>
  <r>
    <n v="89"/>
    <n v="77"/>
    <n v="55"/>
    <n v="44"/>
    <n v="44"/>
    <n v="309"/>
  </r>
  <r>
    <n v="90"/>
    <n v="55"/>
    <n v="66"/>
    <n v="56"/>
    <n v="56"/>
    <n v="323"/>
  </r>
  <r>
    <n v="87"/>
    <n v="66"/>
    <n v="77"/>
    <n v="54"/>
    <n v="67"/>
    <n v="351"/>
  </r>
  <r>
    <n v="65"/>
    <n v="55"/>
    <n v="66"/>
    <n v="67"/>
    <n v="45"/>
    <n v="298"/>
  </r>
  <r>
    <n v="56"/>
    <n v="66"/>
    <n v="88"/>
    <n v="56"/>
    <n v="67"/>
    <n v="333"/>
  </r>
  <r>
    <n v="55"/>
    <n v="77"/>
    <n v="99"/>
    <n v="78"/>
    <n v="87"/>
    <n v="396"/>
  </r>
  <r>
    <n v="55"/>
    <n v="33"/>
    <n v="99"/>
    <n v="65"/>
    <n v="65"/>
    <n v="317"/>
  </r>
  <r>
    <n v="43"/>
    <n v="44"/>
    <n v="77"/>
    <n v="45"/>
    <n v="65"/>
    <n v="274"/>
  </r>
  <r>
    <n v="45"/>
    <n v="55"/>
    <n v="66"/>
    <n v="67"/>
    <n v="65"/>
    <n v="298"/>
  </r>
  <r>
    <n v="64"/>
    <n v="66"/>
    <n v="77"/>
    <n v="65"/>
    <n v="78"/>
    <n v="350"/>
  </r>
  <r>
    <n v="72"/>
    <n v="77"/>
    <n v="88"/>
    <n v="78"/>
    <n v="76"/>
    <n v="391"/>
  </r>
  <r>
    <n v="73"/>
    <n v="88"/>
    <n v="66"/>
    <n v="67"/>
    <n v="54"/>
    <n v="348"/>
  </r>
  <r>
    <n v="82"/>
    <n v="90"/>
    <n v="77"/>
    <n v="87"/>
    <n v="56"/>
    <n v="392"/>
  </r>
  <r>
    <n v="90"/>
    <n v="55"/>
    <n v="88"/>
    <n v="98"/>
    <n v="65"/>
    <n v="396"/>
  </r>
  <r>
    <n v="67"/>
    <n v="66"/>
    <n v="80"/>
    <n v="76"/>
    <n v="43"/>
    <n v="332"/>
  </r>
  <r>
    <n v="89"/>
    <n v="77"/>
    <n v="86"/>
    <n v="54"/>
    <n v="56"/>
    <n v="362"/>
  </r>
  <r>
    <n v="88"/>
    <n v="88"/>
    <n v="88"/>
    <n v="65"/>
    <n v="78"/>
    <n v="407"/>
  </r>
  <r>
    <n v="70.319999999999993"/>
    <n v="64.12"/>
    <n v="70.52"/>
    <n v="65.42"/>
    <n v="65.3"/>
    <m/>
  </r>
  <r>
    <n v="98"/>
    <n v="99"/>
    <n v="99"/>
    <n v="99"/>
    <n v="98"/>
    <m/>
  </r>
  <r>
    <n v="23"/>
    <n v="33"/>
    <n v="22"/>
    <n v="33"/>
    <n v="34"/>
    <m/>
  </r>
  <r>
    <n v="50"/>
    <n v="50"/>
    <n v="50"/>
    <n v="50"/>
    <n v="50"/>
    <m/>
  </r>
  <r>
    <n v="72.5"/>
    <n v="64.5"/>
    <n v="76"/>
    <n v="66"/>
    <n v="65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n v="56"/>
    <n v="86"/>
    <n v="76"/>
    <n v="67"/>
    <n v="65"/>
    <n v="350"/>
  </r>
  <r>
    <x v="1"/>
    <n v="76"/>
    <n v="76"/>
    <n v="69"/>
    <n v="53"/>
    <n v="54"/>
    <n v="328"/>
  </r>
  <r>
    <x v="2"/>
    <n v="78"/>
    <n v="87"/>
    <n v="65"/>
    <n v="45"/>
    <n v="34"/>
    <n v="309"/>
  </r>
  <r>
    <x v="3"/>
    <n v="67"/>
    <n v="86"/>
    <n v="67"/>
    <n v="67"/>
    <n v="56"/>
    <n v="343"/>
  </r>
  <r>
    <x v="4"/>
    <n v="89"/>
    <n v="86"/>
    <n v="90"/>
    <n v="66"/>
    <n v="76"/>
    <n v="407"/>
  </r>
  <r>
    <x v="5"/>
    <n v="98"/>
    <n v="34"/>
    <n v="56"/>
    <n v="54"/>
    <n v="87"/>
    <n v="329"/>
  </r>
  <r>
    <x v="6"/>
    <n v="98"/>
    <n v="56"/>
    <n v="78"/>
    <n v="34"/>
    <n v="87"/>
    <n v="353"/>
  </r>
  <r>
    <x v="7"/>
    <n v="76"/>
    <n v="65"/>
    <n v="98"/>
    <n v="33"/>
    <n v="87"/>
    <n v="359"/>
  </r>
  <r>
    <x v="8"/>
    <n v="56"/>
    <n v="64"/>
    <n v="76"/>
    <n v="44"/>
    <n v="66"/>
    <n v="306"/>
  </r>
  <r>
    <x v="9"/>
    <n v="45"/>
    <n v="64"/>
    <n v="66"/>
    <n v="56"/>
    <n v="77"/>
    <n v="308"/>
  </r>
  <r>
    <x v="10"/>
    <n v="67"/>
    <n v="54"/>
    <n v="55"/>
    <n v="78"/>
    <n v="45"/>
    <n v="299"/>
  </r>
  <r>
    <x v="11"/>
    <n v="34"/>
    <n v="54"/>
    <n v="44"/>
    <n v="76"/>
    <n v="44"/>
    <n v="252"/>
  </r>
  <r>
    <x v="12"/>
    <n v="56"/>
    <n v="55"/>
    <n v="55"/>
    <n v="54"/>
    <n v="56"/>
    <n v="276"/>
  </r>
  <r>
    <x v="13"/>
    <n v="76"/>
    <n v="33"/>
    <n v="33"/>
    <n v="45"/>
    <n v="67"/>
    <n v="254"/>
  </r>
  <r>
    <x v="14"/>
    <n v="56"/>
    <n v="44"/>
    <n v="44"/>
    <n v="67"/>
    <n v="78"/>
    <n v="289"/>
  </r>
  <r>
    <x v="15"/>
    <n v="78"/>
    <n v="55"/>
    <n v="22"/>
    <n v="88"/>
    <n v="56"/>
    <n v="299"/>
  </r>
  <r>
    <x v="16"/>
    <n v="44"/>
    <n v="66"/>
    <n v="33"/>
    <n v="98"/>
    <n v="56"/>
    <n v="297"/>
  </r>
  <r>
    <x v="17"/>
    <n v="23"/>
    <n v="77"/>
    <n v="44"/>
    <n v="76"/>
    <n v="34"/>
    <n v="254"/>
  </r>
  <r>
    <x v="18"/>
    <n v="45"/>
    <n v="88"/>
    <n v="55"/>
    <n v="54"/>
    <n v="56"/>
    <n v="298"/>
  </r>
  <r>
    <x v="19"/>
    <n v="67"/>
    <n v="99"/>
    <n v="66"/>
    <n v="34"/>
    <n v="78"/>
    <n v="344"/>
  </r>
  <r>
    <x v="20"/>
    <n v="76"/>
    <n v="90"/>
    <n v="77"/>
    <n v="56"/>
    <n v="87"/>
    <n v="386"/>
  </r>
  <r>
    <x v="21"/>
    <n v="87"/>
    <n v="57"/>
    <n v="88"/>
    <n v="78"/>
    <n v="98"/>
    <n v="408"/>
  </r>
  <r>
    <x v="22"/>
    <n v="86"/>
    <n v="45"/>
    <n v="99"/>
    <n v="76"/>
    <n v="67"/>
    <n v="373"/>
  </r>
  <r>
    <x v="23"/>
    <n v="88"/>
    <n v="34"/>
    <n v="88"/>
    <n v="89"/>
    <n v="67"/>
    <n v="366"/>
  </r>
  <r>
    <x v="24"/>
    <n v="67"/>
    <n v="56"/>
    <n v="77"/>
    <n v="66"/>
    <n v="98"/>
    <n v="364"/>
  </r>
  <r>
    <x v="25"/>
    <n v="67"/>
    <n v="76"/>
    <n v="88"/>
    <n v="77"/>
    <n v="90"/>
    <n v="398"/>
  </r>
  <r>
    <x v="26"/>
    <n v="88"/>
    <n v="87"/>
    <n v="66"/>
    <n v="67"/>
    <n v="56"/>
    <n v="364"/>
  </r>
  <r>
    <x v="27"/>
    <n v="45"/>
    <n v="54"/>
    <n v="67"/>
    <n v="66"/>
    <n v="56"/>
    <n v="288"/>
  </r>
  <r>
    <x v="28"/>
    <n v="87"/>
    <n v="45"/>
    <n v="77"/>
    <n v="77"/>
    <n v="76"/>
    <n v="362"/>
  </r>
  <r>
    <x v="29"/>
    <n v="67"/>
    <n v="33"/>
    <n v="88"/>
    <n v="66"/>
    <n v="87"/>
    <n v="341"/>
  </r>
  <r>
    <x v="30"/>
    <n v="98"/>
    <n v="44"/>
    <n v="99"/>
    <n v="88"/>
    <n v="45"/>
    <n v="374"/>
  </r>
  <r>
    <x v="31"/>
    <n v="88"/>
    <n v="55"/>
    <n v="33"/>
    <n v="99"/>
    <n v="45"/>
    <n v="320"/>
  </r>
  <r>
    <x v="32"/>
    <n v="77"/>
    <n v="66"/>
    <n v="44"/>
    <n v="55"/>
    <n v="67"/>
    <n v="309"/>
  </r>
  <r>
    <x v="33"/>
    <n v="89"/>
    <n v="77"/>
    <n v="55"/>
    <n v="44"/>
    <n v="44"/>
    <n v="309"/>
  </r>
  <r>
    <x v="34"/>
    <n v="90"/>
    <n v="55"/>
    <n v="66"/>
    <n v="56"/>
    <n v="56"/>
    <n v="323"/>
  </r>
  <r>
    <x v="35"/>
    <n v="87"/>
    <n v="66"/>
    <n v="77"/>
    <n v="54"/>
    <n v="67"/>
    <n v="351"/>
  </r>
  <r>
    <x v="36"/>
    <n v="65"/>
    <n v="55"/>
    <n v="66"/>
    <n v="67"/>
    <n v="45"/>
    <n v="298"/>
  </r>
  <r>
    <x v="0"/>
    <n v="56"/>
    <n v="66"/>
    <n v="88"/>
    <n v="56"/>
    <n v="67"/>
    <n v="333"/>
  </r>
  <r>
    <x v="1"/>
    <n v="55"/>
    <n v="77"/>
    <n v="99"/>
    <n v="78"/>
    <n v="87"/>
    <n v="396"/>
  </r>
  <r>
    <x v="6"/>
    <n v="55"/>
    <n v="33"/>
    <n v="99"/>
    <n v="65"/>
    <n v="65"/>
    <n v="317"/>
  </r>
  <r>
    <x v="7"/>
    <n v="43"/>
    <n v="44"/>
    <n v="77"/>
    <n v="45"/>
    <n v="65"/>
    <n v="274"/>
  </r>
  <r>
    <x v="37"/>
    <n v="45"/>
    <n v="55"/>
    <n v="66"/>
    <n v="67"/>
    <n v="65"/>
    <n v="298"/>
  </r>
  <r>
    <x v="38"/>
    <n v="64"/>
    <n v="66"/>
    <n v="77"/>
    <n v="65"/>
    <n v="78"/>
    <n v="350"/>
  </r>
  <r>
    <x v="5"/>
    <n v="72"/>
    <n v="77"/>
    <n v="88"/>
    <n v="78"/>
    <n v="76"/>
    <n v="391"/>
  </r>
  <r>
    <x v="39"/>
    <n v="73"/>
    <n v="88"/>
    <n v="66"/>
    <n v="67"/>
    <n v="54"/>
    <n v="348"/>
  </r>
  <r>
    <x v="13"/>
    <n v="82"/>
    <n v="90"/>
    <n v="77"/>
    <n v="87"/>
    <n v="56"/>
    <n v="392"/>
  </r>
  <r>
    <x v="40"/>
    <n v="90"/>
    <n v="55"/>
    <n v="88"/>
    <n v="98"/>
    <n v="65"/>
    <n v="396"/>
  </r>
  <r>
    <x v="41"/>
    <n v="67"/>
    <n v="66"/>
    <n v="80"/>
    <n v="76"/>
    <n v="43"/>
    <n v="332"/>
  </r>
  <r>
    <x v="42"/>
    <n v="89"/>
    <n v="77"/>
    <n v="86"/>
    <n v="54"/>
    <n v="56"/>
    <n v="362"/>
  </r>
  <r>
    <x v="3"/>
    <n v="88"/>
    <n v="88"/>
    <n v="88"/>
    <n v="65"/>
    <n v="78"/>
    <n v="407"/>
  </r>
  <r>
    <x v="43"/>
    <n v="70.319999999999993"/>
    <n v="64.12"/>
    <n v="70.52"/>
    <n v="65.42"/>
    <n v="65.3"/>
    <m/>
  </r>
  <r>
    <x v="44"/>
    <n v="98"/>
    <n v="99"/>
    <n v="99"/>
    <n v="99"/>
    <n v="98"/>
    <m/>
  </r>
  <r>
    <x v="45"/>
    <n v="23"/>
    <n v="33"/>
    <n v="22"/>
    <n v="33"/>
    <n v="34"/>
    <m/>
  </r>
  <r>
    <x v="46"/>
    <n v="50"/>
    <n v="50"/>
    <n v="50"/>
    <n v="50"/>
    <n v="50"/>
    <m/>
  </r>
  <r>
    <x v="47"/>
    <n v="72.5"/>
    <n v="64.5"/>
    <n v="76"/>
    <n v="66"/>
    <n v="6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25B8B-9334-4F77-AE1E-5DC8674D93D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2A4D7-C4A0-4FCB-90AE-A7B7F24DEA1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1:F50" firstHeaderRow="0" firstDataRow="1" firstDataCol="1"/>
  <pivotFields count="7">
    <pivotField axis="axisRow" showAll="0">
      <items count="49">
        <item x="18"/>
        <item x="41"/>
        <item x="43"/>
        <item x="29"/>
        <item x="0"/>
        <item x="20"/>
        <item x="34"/>
        <item x="31"/>
        <item x="15"/>
        <item x="46"/>
        <item x="10"/>
        <item x="6"/>
        <item x="17"/>
        <item x="24"/>
        <item x="32"/>
        <item x="21"/>
        <item x="9"/>
        <item x="5"/>
        <item x="27"/>
        <item x="1"/>
        <item x="7"/>
        <item x="16"/>
        <item x="2"/>
        <item x="38"/>
        <item x="14"/>
        <item x="40"/>
        <item x="28"/>
        <item x="3"/>
        <item x="44"/>
        <item x="47"/>
        <item x="42"/>
        <item x="39"/>
        <item x="45"/>
        <item x="25"/>
        <item x="33"/>
        <item x="30"/>
        <item x="19"/>
        <item x="4"/>
        <item x="36"/>
        <item x="37"/>
        <item x="8"/>
        <item x="11"/>
        <item x="12"/>
        <item x="26"/>
        <item x="22"/>
        <item x="35"/>
        <item x="23"/>
        <item x="1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ath" fld="1" baseField="0" baseItem="0"/>
    <dataField name="Sum of Eng" fld="2" baseField="0" baseItem="0"/>
    <dataField name="Sum of Kisw" fld="3" baseField="0" baseItem="0"/>
    <dataField name="Sum of Sci" fld="4" baseField="0" baseItem="0"/>
    <dataField name="Sum of Chem" fld="5" baseField="0" baseItem="0"/>
  </dataFields>
  <chartFormats count="9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7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7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7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7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7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7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7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7" format="4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4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4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2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4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A71E6-5C6B-4417-AD40-04DA2059C4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7:I74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2411-FBD0-4EAD-9AF8-4177C7DF68F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68C7-CAA2-4C1C-A3FA-78AF43DC6CCF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3"/>
      <c r="B3" s="4"/>
      <c r="C3" s="5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6"/>
      <c r="B18" s="7"/>
      <c r="C18" s="8"/>
    </row>
    <row r="19" spans="1:3" x14ac:dyDescent="0.3">
      <c r="A19" s="6"/>
      <c r="B19" s="7"/>
      <c r="C19" s="8"/>
    </row>
    <row r="20" spans="1:3" x14ac:dyDescent="0.3">
      <c r="A20" s="9"/>
      <c r="B20" s="10"/>
      <c r="C2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AB99-C87A-422C-AEB6-2DDB22732B13}">
  <dimension ref="A1:F50"/>
  <sheetViews>
    <sheetView tabSelected="1" topLeftCell="A25" workbookViewId="0">
      <selection sqref="A1:F50"/>
    </sheetView>
  </sheetViews>
  <sheetFormatPr defaultRowHeight="14.4" x14ac:dyDescent="0.3"/>
  <cols>
    <col min="1" max="1" width="15.88671875" bestFit="1" customWidth="1"/>
    <col min="2" max="2" width="12" bestFit="1" customWidth="1"/>
    <col min="3" max="3" width="10.5546875" bestFit="1" customWidth="1"/>
    <col min="4" max="4" width="11.21875" bestFit="1" customWidth="1"/>
    <col min="5" max="5" width="9.77734375" bestFit="1" customWidth="1"/>
    <col min="6" max="6" width="12.33203125" bestFit="1" customWidth="1"/>
  </cols>
  <sheetData>
    <row r="1" spans="1:6" x14ac:dyDescent="0.3">
      <c r="A1" s="12" t="s">
        <v>60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3">
      <c r="A2" s="2" t="s">
        <v>18</v>
      </c>
      <c r="B2">
        <v>45</v>
      </c>
      <c r="C2">
        <v>88</v>
      </c>
      <c r="D2">
        <v>55</v>
      </c>
      <c r="E2">
        <v>54</v>
      </c>
      <c r="F2">
        <v>56</v>
      </c>
    </row>
    <row r="3" spans="1:6" x14ac:dyDescent="0.3">
      <c r="A3" s="2" t="s">
        <v>41</v>
      </c>
      <c r="B3">
        <v>67</v>
      </c>
      <c r="C3">
        <v>66</v>
      </c>
      <c r="D3">
        <v>80</v>
      </c>
      <c r="E3">
        <v>76</v>
      </c>
      <c r="F3">
        <v>43</v>
      </c>
    </row>
    <row r="4" spans="1:6" x14ac:dyDescent="0.3">
      <c r="A4" s="2" t="s">
        <v>51</v>
      </c>
      <c r="B4">
        <v>70.319999999999993</v>
      </c>
      <c r="C4">
        <v>64.12</v>
      </c>
      <c r="D4">
        <v>70.52</v>
      </c>
      <c r="E4">
        <v>65.42</v>
      </c>
      <c r="F4">
        <v>65.3</v>
      </c>
    </row>
    <row r="5" spans="1:6" x14ac:dyDescent="0.3">
      <c r="A5" s="2" t="s">
        <v>29</v>
      </c>
      <c r="B5">
        <v>67</v>
      </c>
      <c r="C5">
        <v>33</v>
      </c>
      <c r="D5">
        <v>88</v>
      </c>
      <c r="E5">
        <v>66</v>
      </c>
      <c r="F5">
        <v>87</v>
      </c>
    </row>
    <row r="6" spans="1:6" x14ac:dyDescent="0.3">
      <c r="A6" s="2" t="s">
        <v>0</v>
      </c>
      <c r="B6">
        <v>112</v>
      </c>
      <c r="C6">
        <v>152</v>
      </c>
      <c r="D6">
        <v>164</v>
      </c>
      <c r="E6">
        <v>123</v>
      </c>
      <c r="F6">
        <v>132</v>
      </c>
    </row>
    <row r="7" spans="1:6" x14ac:dyDescent="0.3">
      <c r="A7" s="2" t="s">
        <v>20</v>
      </c>
      <c r="B7">
        <v>76</v>
      </c>
      <c r="C7">
        <v>90</v>
      </c>
      <c r="D7">
        <v>77</v>
      </c>
      <c r="E7">
        <v>56</v>
      </c>
      <c r="F7">
        <v>87</v>
      </c>
    </row>
    <row r="8" spans="1:6" x14ac:dyDescent="0.3">
      <c r="A8" s="2" t="s">
        <v>34</v>
      </c>
      <c r="B8">
        <v>90</v>
      </c>
      <c r="C8">
        <v>55</v>
      </c>
      <c r="D8">
        <v>66</v>
      </c>
      <c r="E8">
        <v>56</v>
      </c>
      <c r="F8">
        <v>56</v>
      </c>
    </row>
    <row r="9" spans="1:6" x14ac:dyDescent="0.3">
      <c r="A9" s="2" t="s">
        <v>31</v>
      </c>
      <c r="B9">
        <v>88</v>
      </c>
      <c r="C9">
        <v>55</v>
      </c>
      <c r="D9">
        <v>33</v>
      </c>
      <c r="E9">
        <v>99</v>
      </c>
      <c r="F9">
        <v>45</v>
      </c>
    </row>
    <row r="10" spans="1:6" x14ac:dyDescent="0.3">
      <c r="A10" s="2" t="s">
        <v>15</v>
      </c>
      <c r="B10">
        <v>78</v>
      </c>
      <c r="C10">
        <v>55</v>
      </c>
      <c r="D10">
        <v>22</v>
      </c>
      <c r="E10">
        <v>88</v>
      </c>
      <c r="F10">
        <v>56</v>
      </c>
    </row>
    <row r="11" spans="1:6" x14ac:dyDescent="0.3">
      <c r="A11" s="2" t="s">
        <v>49</v>
      </c>
      <c r="B11">
        <v>50</v>
      </c>
      <c r="C11">
        <v>50</v>
      </c>
      <c r="D11">
        <v>50</v>
      </c>
      <c r="E11">
        <v>50</v>
      </c>
      <c r="F11">
        <v>50</v>
      </c>
    </row>
    <row r="12" spans="1:6" x14ac:dyDescent="0.3">
      <c r="A12" s="2" t="s">
        <v>10</v>
      </c>
      <c r="B12">
        <v>67</v>
      </c>
      <c r="C12">
        <v>54</v>
      </c>
      <c r="D12">
        <v>55</v>
      </c>
      <c r="E12">
        <v>78</v>
      </c>
      <c r="F12">
        <v>45</v>
      </c>
    </row>
    <row r="13" spans="1:6" x14ac:dyDescent="0.3">
      <c r="A13" s="2" t="s">
        <v>6</v>
      </c>
      <c r="B13">
        <v>153</v>
      </c>
      <c r="C13">
        <v>89</v>
      </c>
      <c r="D13">
        <v>177</v>
      </c>
      <c r="E13">
        <v>99</v>
      </c>
      <c r="F13">
        <v>152</v>
      </c>
    </row>
    <row r="14" spans="1:6" x14ac:dyDescent="0.3">
      <c r="A14" s="2" t="s">
        <v>17</v>
      </c>
      <c r="B14">
        <v>23</v>
      </c>
      <c r="C14">
        <v>77</v>
      </c>
      <c r="D14">
        <v>44</v>
      </c>
      <c r="E14">
        <v>76</v>
      </c>
      <c r="F14">
        <v>34</v>
      </c>
    </row>
    <row r="15" spans="1:6" x14ac:dyDescent="0.3">
      <c r="A15" s="2" t="s">
        <v>24</v>
      </c>
      <c r="B15">
        <v>67</v>
      </c>
      <c r="C15">
        <v>56</v>
      </c>
      <c r="D15">
        <v>77</v>
      </c>
      <c r="E15">
        <v>66</v>
      </c>
      <c r="F15">
        <v>98</v>
      </c>
    </row>
    <row r="16" spans="1:6" x14ac:dyDescent="0.3">
      <c r="A16" s="2" t="s">
        <v>32</v>
      </c>
      <c r="B16">
        <v>77</v>
      </c>
      <c r="C16">
        <v>66</v>
      </c>
      <c r="D16">
        <v>44</v>
      </c>
      <c r="E16">
        <v>55</v>
      </c>
      <c r="F16">
        <v>67</v>
      </c>
    </row>
    <row r="17" spans="1:6" x14ac:dyDescent="0.3">
      <c r="A17" s="2" t="s">
        <v>21</v>
      </c>
      <c r="B17">
        <v>87</v>
      </c>
      <c r="C17">
        <v>57</v>
      </c>
      <c r="D17">
        <v>88</v>
      </c>
      <c r="E17">
        <v>78</v>
      </c>
      <c r="F17">
        <v>98</v>
      </c>
    </row>
    <row r="18" spans="1:6" x14ac:dyDescent="0.3">
      <c r="A18" s="2" t="s">
        <v>9</v>
      </c>
      <c r="B18">
        <v>45</v>
      </c>
      <c r="C18">
        <v>64</v>
      </c>
      <c r="D18">
        <v>66</v>
      </c>
      <c r="E18">
        <v>56</v>
      </c>
      <c r="F18">
        <v>77</v>
      </c>
    </row>
    <row r="19" spans="1:6" x14ac:dyDescent="0.3">
      <c r="A19" s="2" t="s">
        <v>5</v>
      </c>
      <c r="B19">
        <v>170</v>
      </c>
      <c r="C19">
        <v>111</v>
      </c>
      <c r="D19">
        <v>144</v>
      </c>
      <c r="E19">
        <v>132</v>
      </c>
      <c r="F19">
        <v>163</v>
      </c>
    </row>
    <row r="20" spans="1:6" x14ac:dyDescent="0.3">
      <c r="A20" s="2" t="s">
        <v>27</v>
      </c>
      <c r="B20">
        <v>45</v>
      </c>
      <c r="C20">
        <v>54</v>
      </c>
      <c r="D20">
        <v>67</v>
      </c>
      <c r="E20">
        <v>66</v>
      </c>
      <c r="F20">
        <v>56</v>
      </c>
    </row>
    <row r="21" spans="1:6" x14ac:dyDescent="0.3">
      <c r="A21" s="2" t="s">
        <v>1</v>
      </c>
      <c r="B21">
        <v>131</v>
      </c>
      <c r="C21">
        <v>153</v>
      </c>
      <c r="D21">
        <v>168</v>
      </c>
      <c r="E21">
        <v>131</v>
      </c>
      <c r="F21">
        <v>141</v>
      </c>
    </row>
    <row r="22" spans="1:6" x14ac:dyDescent="0.3">
      <c r="A22" s="2" t="s">
        <v>7</v>
      </c>
      <c r="B22">
        <v>119</v>
      </c>
      <c r="C22">
        <v>109</v>
      </c>
      <c r="D22">
        <v>175</v>
      </c>
      <c r="E22">
        <v>78</v>
      </c>
      <c r="F22">
        <v>152</v>
      </c>
    </row>
    <row r="23" spans="1:6" x14ac:dyDescent="0.3">
      <c r="A23" s="2" t="s">
        <v>16</v>
      </c>
      <c r="B23">
        <v>44</v>
      </c>
      <c r="C23">
        <v>66</v>
      </c>
      <c r="D23">
        <v>33</v>
      </c>
      <c r="E23">
        <v>98</v>
      </c>
      <c r="F23">
        <v>56</v>
      </c>
    </row>
    <row r="24" spans="1:6" x14ac:dyDescent="0.3">
      <c r="A24" s="2" t="s">
        <v>2</v>
      </c>
      <c r="B24">
        <v>78</v>
      </c>
      <c r="C24">
        <v>87</v>
      </c>
      <c r="D24">
        <v>65</v>
      </c>
      <c r="E24">
        <v>45</v>
      </c>
      <c r="F24">
        <v>34</v>
      </c>
    </row>
    <row r="25" spans="1:6" x14ac:dyDescent="0.3">
      <c r="A25" s="2" t="s">
        <v>38</v>
      </c>
      <c r="B25">
        <v>64</v>
      </c>
      <c r="C25">
        <v>66</v>
      </c>
      <c r="D25">
        <v>77</v>
      </c>
      <c r="E25">
        <v>65</v>
      </c>
      <c r="F25">
        <v>78</v>
      </c>
    </row>
    <row r="26" spans="1:6" x14ac:dyDescent="0.3">
      <c r="A26" s="2" t="s">
        <v>14</v>
      </c>
      <c r="B26">
        <v>56</v>
      </c>
      <c r="C26">
        <v>44</v>
      </c>
      <c r="D26">
        <v>44</v>
      </c>
      <c r="E26">
        <v>67</v>
      </c>
      <c r="F26">
        <v>78</v>
      </c>
    </row>
    <row r="27" spans="1:6" x14ac:dyDescent="0.3">
      <c r="A27" s="2" t="s">
        <v>40</v>
      </c>
      <c r="B27">
        <v>90</v>
      </c>
      <c r="C27">
        <v>55</v>
      </c>
      <c r="D27">
        <v>88</v>
      </c>
      <c r="E27">
        <v>98</v>
      </c>
      <c r="F27">
        <v>65</v>
      </c>
    </row>
    <row r="28" spans="1:6" x14ac:dyDescent="0.3">
      <c r="A28" s="2" t="s">
        <v>28</v>
      </c>
      <c r="B28">
        <v>87</v>
      </c>
      <c r="C28">
        <v>45</v>
      </c>
      <c r="D28">
        <v>77</v>
      </c>
      <c r="E28">
        <v>77</v>
      </c>
      <c r="F28">
        <v>76</v>
      </c>
    </row>
    <row r="29" spans="1:6" x14ac:dyDescent="0.3">
      <c r="A29" s="2" t="s">
        <v>3</v>
      </c>
      <c r="B29">
        <v>155</v>
      </c>
      <c r="C29">
        <v>174</v>
      </c>
      <c r="D29">
        <v>155</v>
      </c>
      <c r="E29">
        <v>132</v>
      </c>
      <c r="F29">
        <v>134</v>
      </c>
    </row>
    <row r="30" spans="1:6" x14ac:dyDescent="0.3">
      <c r="A30" s="2" t="s">
        <v>52</v>
      </c>
      <c r="B30">
        <v>98</v>
      </c>
      <c r="C30">
        <v>99</v>
      </c>
      <c r="D30">
        <v>99</v>
      </c>
      <c r="E30">
        <v>99</v>
      </c>
      <c r="F30">
        <v>98</v>
      </c>
    </row>
    <row r="31" spans="1:6" x14ac:dyDescent="0.3">
      <c r="A31" s="2" t="s">
        <v>54</v>
      </c>
      <c r="B31">
        <v>72.5</v>
      </c>
      <c r="C31">
        <v>64.5</v>
      </c>
      <c r="D31">
        <v>76</v>
      </c>
      <c r="E31">
        <v>66</v>
      </c>
      <c r="F31">
        <v>65</v>
      </c>
    </row>
    <row r="32" spans="1:6" x14ac:dyDescent="0.3">
      <c r="A32" s="2" t="s">
        <v>42</v>
      </c>
      <c r="B32">
        <v>89</v>
      </c>
      <c r="C32">
        <v>77</v>
      </c>
      <c r="D32">
        <v>86</v>
      </c>
      <c r="E32">
        <v>54</v>
      </c>
      <c r="F32">
        <v>56</v>
      </c>
    </row>
    <row r="33" spans="1:6" x14ac:dyDescent="0.3">
      <c r="A33" s="2" t="s">
        <v>39</v>
      </c>
      <c r="B33">
        <v>73</v>
      </c>
      <c r="C33">
        <v>88</v>
      </c>
      <c r="D33">
        <v>66</v>
      </c>
      <c r="E33">
        <v>67</v>
      </c>
      <c r="F33">
        <v>54</v>
      </c>
    </row>
    <row r="34" spans="1:6" x14ac:dyDescent="0.3">
      <c r="A34" s="2" t="s">
        <v>53</v>
      </c>
      <c r="B34">
        <v>23</v>
      </c>
      <c r="C34">
        <v>33</v>
      </c>
      <c r="D34">
        <v>22</v>
      </c>
      <c r="E34">
        <v>33</v>
      </c>
      <c r="F34">
        <v>34</v>
      </c>
    </row>
    <row r="35" spans="1:6" x14ac:dyDescent="0.3">
      <c r="A35" s="2" t="s">
        <v>25</v>
      </c>
      <c r="B35">
        <v>67</v>
      </c>
      <c r="C35">
        <v>76</v>
      </c>
      <c r="D35">
        <v>88</v>
      </c>
      <c r="E35">
        <v>77</v>
      </c>
      <c r="F35">
        <v>90</v>
      </c>
    </row>
    <row r="36" spans="1:6" x14ac:dyDescent="0.3">
      <c r="A36" s="2" t="s">
        <v>33</v>
      </c>
      <c r="B36">
        <v>89</v>
      </c>
      <c r="C36">
        <v>77</v>
      </c>
      <c r="D36">
        <v>55</v>
      </c>
      <c r="E36">
        <v>44</v>
      </c>
      <c r="F36">
        <v>44</v>
      </c>
    </row>
    <row r="37" spans="1:6" x14ac:dyDescent="0.3">
      <c r="A37" s="2" t="s">
        <v>30</v>
      </c>
      <c r="B37">
        <v>98</v>
      </c>
      <c r="C37">
        <v>44</v>
      </c>
      <c r="D37">
        <v>99</v>
      </c>
      <c r="E37">
        <v>88</v>
      </c>
      <c r="F37">
        <v>45</v>
      </c>
    </row>
    <row r="38" spans="1:6" x14ac:dyDescent="0.3">
      <c r="A38" s="2" t="s">
        <v>19</v>
      </c>
      <c r="B38">
        <v>67</v>
      </c>
      <c r="C38">
        <v>99</v>
      </c>
      <c r="D38">
        <v>66</v>
      </c>
      <c r="E38">
        <v>34</v>
      </c>
      <c r="F38">
        <v>78</v>
      </c>
    </row>
    <row r="39" spans="1:6" x14ac:dyDescent="0.3">
      <c r="A39" s="2" t="s">
        <v>4</v>
      </c>
      <c r="B39">
        <v>89</v>
      </c>
      <c r="C39">
        <v>86</v>
      </c>
      <c r="D39">
        <v>90</v>
      </c>
      <c r="E39">
        <v>66</v>
      </c>
      <c r="F39">
        <v>76</v>
      </c>
    </row>
    <row r="40" spans="1:6" x14ac:dyDescent="0.3">
      <c r="A40" s="2" t="s">
        <v>36</v>
      </c>
      <c r="B40">
        <v>65</v>
      </c>
      <c r="C40">
        <v>55</v>
      </c>
      <c r="D40">
        <v>66</v>
      </c>
      <c r="E40">
        <v>67</v>
      </c>
      <c r="F40">
        <v>45</v>
      </c>
    </row>
    <row r="41" spans="1:6" x14ac:dyDescent="0.3">
      <c r="A41" s="2" t="s">
        <v>37</v>
      </c>
      <c r="B41">
        <v>45</v>
      </c>
      <c r="C41">
        <v>55</v>
      </c>
      <c r="D41">
        <v>66</v>
      </c>
      <c r="E41">
        <v>67</v>
      </c>
      <c r="F41">
        <v>65</v>
      </c>
    </row>
    <row r="42" spans="1:6" x14ac:dyDescent="0.3">
      <c r="A42" s="2" t="s">
        <v>8</v>
      </c>
      <c r="B42">
        <v>56</v>
      </c>
      <c r="C42">
        <v>64</v>
      </c>
      <c r="D42">
        <v>76</v>
      </c>
      <c r="E42">
        <v>44</v>
      </c>
      <c r="F42">
        <v>66</v>
      </c>
    </row>
    <row r="43" spans="1:6" x14ac:dyDescent="0.3">
      <c r="A43" s="2" t="s">
        <v>11</v>
      </c>
      <c r="B43">
        <v>34</v>
      </c>
      <c r="C43">
        <v>54</v>
      </c>
      <c r="D43">
        <v>44</v>
      </c>
      <c r="E43">
        <v>76</v>
      </c>
      <c r="F43">
        <v>44</v>
      </c>
    </row>
    <row r="44" spans="1:6" x14ac:dyDescent="0.3">
      <c r="A44" s="2" t="s">
        <v>12</v>
      </c>
      <c r="B44">
        <v>56</v>
      </c>
      <c r="C44">
        <v>55</v>
      </c>
      <c r="D44">
        <v>55</v>
      </c>
      <c r="E44">
        <v>54</v>
      </c>
      <c r="F44">
        <v>56</v>
      </c>
    </row>
    <row r="45" spans="1:6" x14ac:dyDescent="0.3">
      <c r="A45" s="2" t="s">
        <v>26</v>
      </c>
      <c r="B45">
        <v>88</v>
      </c>
      <c r="C45">
        <v>87</v>
      </c>
      <c r="D45">
        <v>66</v>
      </c>
      <c r="E45">
        <v>67</v>
      </c>
      <c r="F45">
        <v>56</v>
      </c>
    </row>
    <row r="46" spans="1:6" x14ac:dyDescent="0.3">
      <c r="A46" s="2" t="s">
        <v>22</v>
      </c>
      <c r="B46">
        <v>86</v>
      </c>
      <c r="C46">
        <v>45</v>
      </c>
      <c r="D46">
        <v>99</v>
      </c>
      <c r="E46">
        <v>76</v>
      </c>
      <c r="F46">
        <v>67</v>
      </c>
    </row>
    <row r="47" spans="1:6" x14ac:dyDescent="0.3">
      <c r="A47" s="2" t="s">
        <v>35</v>
      </c>
      <c r="B47">
        <v>87</v>
      </c>
      <c r="C47">
        <v>66</v>
      </c>
      <c r="D47">
        <v>77</v>
      </c>
      <c r="E47">
        <v>54</v>
      </c>
      <c r="F47">
        <v>67</v>
      </c>
    </row>
    <row r="48" spans="1:6" x14ac:dyDescent="0.3">
      <c r="A48" s="2" t="s">
        <v>23</v>
      </c>
      <c r="B48">
        <v>88</v>
      </c>
      <c r="C48">
        <v>34</v>
      </c>
      <c r="D48">
        <v>88</v>
      </c>
      <c r="E48">
        <v>89</v>
      </c>
      <c r="F48">
        <v>67</v>
      </c>
    </row>
    <row r="49" spans="1:6" x14ac:dyDescent="0.3">
      <c r="A49" s="2" t="s">
        <v>13</v>
      </c>
      <c r="B49">
        <v>158</v>
      </c>
      <c r="C49">
        <v>123</v>
      </c>
      <c r="D49">
        <v>110</v>
      </c>
      <c r="E49">
        <v>132</v>
      </c>
      <c r="F49">
        <v>123</v>
      </c>
    </row>
    <row r="50" spans="1:6" x14ac:dyDescent="0.3">
      <c r="A50" s="2" t="s">
        <v>61</v>
      </c>
      <c r="B50">
        <v>3829.8199999999997</v>
      </c>
      <c r="C50">
        <v>3516.62</v>
      </c>
      <c r="D50">
        <v>3843.52</v>
      </c>
      <c r="E50">
        <v>3584.42</v>
      </c>
      <c r="F50">
        <v>3577.3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8E2C-68E7-4889-8504-289FC1B61A5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2EC1-203C-4E0F-8642-964049235D4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workbookViewId="0">
      <selection activeCell="O16" sqref="O16"/>
    </sheetView>
  </sheetViews>
  <sheetFormatPr defaultRowHeight="14.4" x14ac:dyDescent="0.3"/>
  <cols>
    <col min="1" max="1" width="17.88671875" customWidth="1"/>
    <col min="7" max="7" width="14.109375" customWidth="1"/>
  </cols>
  <sheetData>
    <row r="1" spans="1:7" ht="17.399999999999999" x14ac:dyDescent="0.4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50</v>
      </c>
    </row>
    <row r="2" spans="1:7" x14ac:dyDescent="0.3">
      <c r="A2" s="2" t="s">
        <v>0</v>
      </c>
      <c r="B2">
        <v>56</v>
      </c>
      <c r="C2">
        <v>86</v>
      </c>
      <c r="D2">
        <v>76</v>
      </c>
      <c r="E2">
        <v>67</v>
      </c>
      <c r="F2">
        <v>65</v>
      </c>
      <c r="G2">
        <f>SUM(B2:F2)</f>
        <v>350</v>
      </c>
    </row>
    <row r="3" spans="1:7" x14ac:dyDescent="0.3">
      <c r="A3" s="2" t="s">
        <v>1</v>
      </c>
      <c r="B3">
        <v>76</v>
      </c>
      <c r="C3">
        <v>76</v>
      </c>
      <c r="D3">
        <v>69</v>
      </c>
      <c r="E3">
        <v>53</v>
      </c>
      <c r="F3">
        <v>54</v>
      </c>
      <c r="G3">
        <f t="shared" ref="G3:G51" si="0">SUM(B3:F3)</f>
        <v>328</v>
      </c>
    </row>
    <row r="4" spans="1:7" x14ac:dyDescent="0.3">
      <c r="A4" s="2" t="s">
        <v>2</v>
      </c>
      <c r="B4">
        <v>78</v>
      </c>
      <c r="C4">
        <v>87</v>
      </c>
      <c r="D4">
        <v>65</v>
      </c>
      <c r="E4">
        <v>45</v>
      </c>
      <c r="F4">
        <v>34</v>
      </c>
      <c r="G4">
        <f t="shared" si="0"/>
        <v>309</v>
      </c>
    </row>
    <row r="5" spans="1:7" x14ac:dyDescent="0.3">
      <c r="A5" s="2" t="s">
        <v>3</v>
      </c>
      <c r="B5">
        <v>67</v>
      </c>
      <c r="C5">
        <v>86</v>
      </c>
      <c r="D5">
        <v>67</v>
      </c>
      <c r="E5">
        <v>67</v>
      </c>
      <c r="F5">
        <v>56</v>
      </c>
      <c r="G5">
        <f t="shared" si="0"/>
        <v>343</v>
      </c>
    </row>
    <row r="6" spans="1:7" x14ac:dyDescent="0.3">
      <c r="A6" s="2" t="s">
        <v>4</v>
      </c>
      <c r="B6">
        <v>89</v>
      </c>
      <c r="C6">
        <v>86</v>
      </c>
      <c r="D6">
        <v>90</v>
      </c>
      <c r="E6">
        <v>66</v>
      </c>
      <c r="F6">
        <v>76</v>
      </c>
      <c r="G6">
        <f t="shared" si="0"/>
        <v>407</v>
      </c>
    </row>
    <row r="7" spans="1:7" x14ac:dyDescent="0.3">
      <c r="A7" s="2" t="s">
        <v>5</v>
      </c>
      <c r="B7">
        <v>98</v>
      </c>
      <c r="C7">
        <v>34</v>
      </c>
      <c r="D7">
        <v>56</v>
      </c>
      <c r="E7">
        <v>54</v>
      </c>
      <c r="F7">
        <v>87</v>
      </c>
      <c r="G7">
        <f t="shared" si="0"/>
        <v>329</v>
      </c>
    </row>
    <row r="8" spans="1:7" x14ac:dyDescent="0.3">
      <c r="A8" s="2" t="s">
        <v>6</v>
      </c>
      <c r="B8">
        <v>98</v>
      </c>
      <c r="C8">
        <v>56</v>
      </c>
      <c r="D8">
        <v>78</v>
      </c>
      <c r="E8">
        <v>34</v>
      </c>
      <c r="F8">
        <v>87</v>
      </c>
      <c r="G8">
        <f t="shared" si="0"/>
        <v>353</v>
      </c>
    </row>
    <row r="9" spans="1:7" x14ac:dyDescent="0.3">
      <c r="A9" s="2" t="s">
        <v>7</v>
      </c>
      <c r="B9">
        <v>76</v>
      </c>
      <c r="C9">
        <v>65</v>
      </c>
      <c r="D9">
        <v>98</v>
      </c>
      <c r="E9">
        <v>33</v>
      </c>
      <c r="F9">
        <v>87</v>
      </c>
      <c r="G9">
        <f t="shared" si="0"/>
        <v>359</v>
      </c>
    </row>
    <row r="10" spans="1:7" x14ac:dyDescent="0.3">
      <c r="A10" s="2" t="s">
        <v>8</v>
      </c>
      <c r="B10">
        <v>56</v>
      </c>
      <c r="C10">
        <v>64</v>
      </c>
      <c r="D10">
        <v>76</v>
      </c>
      <c r="E10">
        <v>44</v>
      </c>
      <c r="F10">
        <v>66</v>
      </c>
      <c r="G10">
        <f t="shared" si="0"/>
        <v>306</v>
      </c>
    </row>
    <row r="11" spans="1:7" x14ac:dyDescent="0.3">
      <c r="A11" s="2" t="s">
        <v>9</v>
      </c>
      <c r="B11">
        <v>45</v>
      </c>
      <c r="C11">
        <v>64</v>
      </c>
      <c r="D11">
        <v>66</v>
      </c>
      <c r="E11">
        <v>56</v>
      </c>
      <c r="F11">
        <v>77</v>
      </c>
      <c r="G11">
        <f t="shared" si="0"/>
        <v>308</v>
      </c>
    </row>
    <row r="12" spans="1:7" x14ac:dyDescent="0.3">
      <c r="A12" s="2" t="s">
        <v>10</v>
      </c>
      <c r="B12">
        <v>67</v>
      </c>
      <c r="C12">
        <v>54</v>
      </c>
      <c r="D12">
        <v>55</v>
      </c>
      <c r="E12">
        <v>78</v>
      </c>
      <c r="F12">
        <v>45</v>
      </c>
      <c r="G12">
        <f t="shared" si="0"/>
        <v>299</v>
      </c>
    </row>
    <row r="13" spans="1:7" x14ac:dyDescent="0.3">
      <c r="A13" s="2" t="s">
        <v>11</v>
      </c>
      <c r="B13">
        <v>34</v>
      </c>
      <c r="C13">
        <v>54</v>
      </c>
      <c r="D13">
        <v>44</v>
      </c>
      <c r="E13">
        <v>76</v>
      </c>
      <c r="F13">
        <v>44</v>
      </c>
      <c r="G13">
        <f t="shared" si="0"/>
        <v>252</v>
      </c>
    </row>
    <row r="14" spans="1:7" x14ac:dyDescent="0.3">
      <c r="A14" s="2" t="s">
        <v>12</v>
      </c>
      <c r="B14">
        <v>56</v>
      </c>
      <c r="C14">
        <v>55</v>
      </c>
      <c r="D14">
        <v>55</v>
      </c>
      <c r="E14">
        <v>54</v>
      </c>
      <c r="F14">
        <v>56</v>
      </c>
      <c r="G14">
        <f t="shared" si="0"/>
        <v>276</v>
      </c>
    </row>
    <row r="15" spans="1:7" x14ac:dyDescent="0.3">
      <c r="A15" s="2" t="s">
        <v>13</v>
      </c>
      <c r="B15">
        <v>76</v>
      </c>
      <c r="C15">
        <v>33</v>
      </c>
      <c r="D15">
        <v>33</v>
      </c>
      <c r="E15">
        <v>45</v>
      </c>
      <c r="F15">
        <v>67</v>
      </c>
      <c r="G15">
        <f t="shared" si="0"/>
        <v>254</v>
      </c>
    </row>
    <row r="16" spans="1:7" x14ac:dyDescent="0.3">
      <c r="A16" s="2" t="s">
        <v>14</v>
      </c>
      <c r="B16">
        <v>56</v>
      </c>
      <c r="C16">
        <v>44</v>
      </c>
      <c r="D16">
        <v>44</v>
      </c>
      <c r="E16">
        <v>67</v>
      </c>
      <c r="F16">
        <v>78</v>
      </c>
      <c r="G16">
        <f t="shared" si="0"/>
        <v>289</v>
      </c>
    </row>
    <row r="17" spans="1:7" x14ac:dyDescent="0.3">
      <c r="A17" s="2" t="s">
        <v>15</v>
      </c>
      <c r="B17">
        <v>78</v>
      </c>
      <c r="C17">
        <v>55</v>
      </c>
      <c r="D17">
        <v>22</v>
      </c>
      <c r="E17">
        <v>88</v>
      </c>
      <c r="F17">
        <v>56</v>
      </c>
      <c r="G17">
        <f t="shared" si="0"/>
        <v>299</v>
      </c>
    </row>
    <row r="18" spans="1:7" x14ac:dyDescent="0.3">
      <c r="A18" s="2" t="s">
        <v>16</v>
      </c>
      <c r="B18">
        <v>44</v>
      </c>
      <c r="C18">
        <v>66</v>
      </c>
      <c r="D18">
        <v>33</v>
      </c>
      <c r="E18">
        <v>98</v>
      </c>
      <c r="F18">
        <v>56</v>
      </c>
      <c r="G18">
        <f t="shared" si="0"/>
        <v>297</v>
      </c>
    </row>
    <row r="19" spans="1:7" x14ac:dyDescent="0.3">
      <c r="A19" s="2" t="s">
        <v>17</v>
      </c>
      <c r="B19">
        <v>23</v>
      </c>
      <c r="C19">
        <v>77</v>
      </c>
      <c r="D19">
        <v>44</v>
      </c>
      <c r="E19">
        <v>76</v>
      </c>
      <c r="F19">
        <v>34</v>
      </c>
      <c r="G19">
        <f t="shared" si="0"/>
        <v>254</v>
      </c>
    </row>
    <row r="20" spans="1:7" x14ac:dyDescent="0.3">
      <c r="A20" s="2" t="s">
        <v>18</v>
      </c>
      <c r="B20">
        <v>45</v>
      </c>
      <c r="C20">
        <v>88</v>
      </c>
      <c r="D20">
        <v>55</v>
      </c>
      <c r="E20">
        <v>54</v>
      </c>
      <c r="F20">
        <v>56</v>
      </c>
      <c r="G20">
        <f t="shared" si="0"/>
        <v>298</v>
      </c>
    </row>
    <row r="21" spans="1:7" x14ac:dyDescent="0.3">
      <c r="A21" s="2" t="s">
        <v>19</v>
      </c>
      <c r="B21">
        <v>67</v>
      </c>
      <c r="C21">
        <v>99</v>
      </c>
      <c r="D21">
        <v>66</v>
      </c>
      <c r="E21">
        <v>34</v>
      </c>
      <c r="F21">
        <v>78</v>
      </c>
      <c r="G21">
        <f t="shared" si="0"/>
        <v>344</v>
      </c>
    </row>
    <row r="22" spans="1:7" x14ac:dyDescent="0.3">
      <c r="A22" s="2" t="s">
        <v>20</v>
      </c>
      <c r="B22">
        <v>76</v>
      </c>
      <c r="C22">
        <v>90</v>
      </c>
      <c r="D22">
        <v>77</v>
      </c>
      <c r="E22">
        <v>56</v>
      </c>
      <c r="F22">
        <v>87</v>
      </c>
      <c r="G22">
        <f t="shared" si="0"/>
        <v>386</v>
      </c>
    </row>
    <row r="23" spans="1:7" x14ac:dyDescent="0.3">
      <c r="A23" s="2" t="s">
        <v>21</v>
      </c>
      <c r="B23">
        <v>87</v>
      </c>
      <c r="C23">
        <v>57</v>
      </c>
      <c r="D23">
        <v>88</v>
      </c>
      <c r="E23">
        <v>78</v>
      </c>
      <c r="F23">
        <v>98</v>
      </c>
      <c r="G23">
        <f t="shared" si="0"/>
        <v>408</v>
      </c>
    </row>
    <row r="24" spans="1:7" x14ac:dyDescent="0.3">
      <c r="A24" s="2" t="s">
        <v>22</v>
      </c>
      <c r="B24">
        <v>86</v>
      </c>
      <c r="C24">
        <v>45</v>
      </c>
      <c r="D24">
        <v>99</v>
      </c>
      <c r="E24">
        <v>76</v>
      </c>
      <c r="F24">
        <v>67</v>
      </c>
      <c r="G24">
        <f t="shared" si="0"/>
        <v>373</v>
      </c>
    </row>
    <row r="25" spans="1:7" x14ac:dyDescent="0.3">
      <c r="A25" s="2" t="s">
        <v>23</v>
      </c>
      <c r="B25">
        <v>88</v>
      </c>
      <c r="C25">
        <v>34</v>
      </c>
      <c r="D25">
        <v>88</v>
      </c>
      <c r="E25">
        <v>89</v>
      </c>
      <c r="F25">
        <v>67</v>
      </c>
      <c r="G25">
        <f t="shared" si="0"/>
        <v>366</v>
      </c>
    </row>
    <row r="26" spans="1:7" x14ac:dyDescent="0.3">
      <c r="A26" s="2" t="s">
        <v>24</v>
      </c>
      <c r="B26">
        <v>67</v>
      </c>
      <c r="C26">
        <v>56</v>
      </c>
      <c r="D26">
        <v>77</v>
      </c>
      <c r="E26">
        <v>66</v>
      </c>
      <c r="F26">
        <v>98</v>
      </c>
      <c r="G26">
        <f t="shared" si="0"/>
        <v>364</v>
      </c>
    </row>
    <row r="27" spans="1:7" x14ac:dyDescent="0.3">
      <c r="A27" s="2" t="s">
        <v>25</v>
      </c>
      <c r="B27">
        <v>67</v>
      </c>
      <c r="C27">
        <v>76</v>
      </c>
      <c r="D27">
        <v>88</v>
      </c>
      <c r="E27">
        <v>77</v>
      </c>
      <c r="F27">
        <v>90</v>
      </c>
      <c r="G27">
        <f t="shared" si="0"/>
        <v>398</v>
      </c>
    </row>
    <row r="28" spans="1:7" x14ac:dyDescent="0.3">
      <c r="A28" s="2" t="s">
        <v>26</v>
      </c>
      <c r="B28">
        <v>88</v>
      </c>
      <c r="C28">
        <v>87</v>
      </c>
      <c r="D28">
        <v>66</v>
      </c>
      <c r="E28">
        <v>67</v>
      </c>
      <c r="F28">
        <v>56</v>
      </c>
      <c r="G28">
        <f t="shared" si="0"/>
        <v>364</v>
      </c>
    </row>
    <row r="29" spans="1:7" x14ac:dyDescent="0.3">
      <c r="A29" s="2" t="s">
        <v>27</v>
      </c>
      <c r="B29">
        <v>45</v>
      </c>
      <c r="C29">
        <v>54</v>
      </c>
      <c r="D29">
        <v>67</v>
      </c>
      <c r="E29">
        <v>66</v>
      </c>
      <c r="F29">
        <v>56</v>
      </c>
      <c r="G29">
        <f t="shared" si="0"/>
        <v>288</v>
      </c>
    </row>
    <row r="30" spans="1:7" x14ac:dyDescent="0.3">
      <c r="A30" s="2" t="s">
        <v>28</v>
      </c>
      <c r="B30">
        <v>87</v>
      </c>
      <c r="C30">
        <v>45</v>
      </c>
      <c r="D30">
        <v>77</v>
      </c>
      <c r="E30">
        <v>77</v>
      </c>
      <c r="F30">
        <v>76</v>
      </c>
      <c r="G30">
        <f t="shared" si="0"/>
        <v>362</v>
      </c>
    </row>
    <row r="31" spans="1:7" x14ac:dyDescent="0.3">
      <c r="A31" s="2" t="s">
        <v>29</v>
      </c>
      <c r="B31">
        <v>67</v>
      </c>
      <c r="C31">
        <v>33</v>
      </c>
      <c r="D31">
        <v>88</v>
      </c>
      <c r="E31">
        <v>66</v>
      </c>
      <c r="F31">
        <v>87</v>
      </c>
      <c r="G31">
        <f t="shared" si="0"/>
        <v>341</v>
      </c>
    </row>
    <row r="32" spans="1:7" x14ac:dyDescent="0.3">
      <c r="A32" s="2" t="s">
        <v>30</v>
      </c>
      <c r="B32">
        <v>98</v>
      </c>
      <c r="C32">
        <v>44</v>
      </c>
      <c r="D32">
        <v>99</v>
      </c>
      <c r="E32">
        <v>88</v>
      </c>
      <c r="F32">
        <v>45</v>
      </c>
      <c r="G32">
        <f t="shared" si="0"/>
        <v>374</v>
      </c>
    </row>
    <row r="33" spans="1:7" x14ac:dyDescent="0.3">
      <c r="A33" s="2" t="s">
        <v>31</v>
      </c>
      <c r="B33">
        <v>88</v>
      </c>
      <c r="C33">
        <v>55</v>
      </c>
      <c r="D33">
        <v>33</v>
      </c>
      <c r="E33">
        <v>99</v>
      </c>
      <c r="F33">
        <v>45</v>
      </c>
      <c r="G33">
        <f t="shared" si="0"/>
        <v>320</v>
      </c>
    </row>
    <row r="34" spans="1:7" x14ac:dyDescent="0.3">
      <c r="A34" s="2" t="s">
        <v>32</v>
      </c>
      <c r="B34">
        <v>77</v>
      </c>
      <c r="C34">
        <v>66</v>
      </c>
      <c r="D34">
        <v>44</v>
      </c>
      <c r="E34">
        <v>55</v>
      </c>
      <c r="F34">
        <v>67</v>
      </c>
      <c r="G34">
        <f t="shared" si="0"/>
        <v>309</v>
      </c>
    </row>
    <row r="35" spans="1:7" x14ac:dyDescent="0.3">
      <c r="A35" s="2" t="s">
        <v>33</v>
      </c>
      <c r="B35">
        <v>89</v>
      </c>
      <c r="C35">
        <v>77</v>
      </c>
      <c r="D35">
        <v>55</v>
      </c>
      <c r="E35">
        <v>44</v>
      </c>
      <c r="F35">
        <v>44</v>
      </c>
      <c r="G35">
        <f t="shared" si="0"/>
        <v>309</v>
      </c>
    </row>
    <row r="36" spans="1:7" x14ac:dyDescent="0.3">
      <c r="A36" s="2" t="s">
        <v>34</v>
      </c>
      <c r="B36">
        <v>90</v>
      </c>
      <c r="C36">
        <v>55</v>
      </c>
      <c r="D36">
        <v>66</v>
      </c>
      <c r="E36">
        <v>56</v>
      </c>
      <c r="F36">
        <v>56</v>
      </c>
      <c r="G36">
        <f t="shared" si="0"/>
        <v>323</v>
      </c>
    </row>
    <row r="37" spans="1:7" x14ac:dyDescent="0.3">
      <c r="A37" s="2" t="s">
        <v>35</v>
      </c>
      <c r="B37">
        <v>87</v>
      </c>
      <c r="C37">
        <v>66</v>
      </c>
      <c r="D37">
        <v>77</v>
      </c>
      <c r="E37">
        <v>54</v>
      </c>
      <c r="F37">
        <v>67</v>
      </c>
      <c r="G37">
        <f t="shared" si="0"/>
        <v>351</v>
      </c>
    </row>
    <row r="38" spans="1:7" x14ac:dyDescent="0.3">
      <c r="A38" s="2" t="s">
        <v>36</v>
      </c>
      <c r="B38">
        <v>65</v>
      </c>
      <c r="C38">
        <v>55</v>
      </c>
      <c r="D38">
        <v>66</v>
      </c>
      <c r="E38">
        <v>67</v>
      </c>
      <c r="F38">
        <v>45</v>
      </c>
      <c r="G38">
        <f t="shared" si="0"/>
        <v>298</v>
      </c>
    </row>
    <row r="39" spans="1:7" x14ac:dyDescent="0.3">
      <c r="A39" s="2" t="s">
        <v>0</v>
      </c>
      <c r="B39">
        <v>56</v>
      </c>
      <c r="C39">
        <v>66</v>
      </c>
      <c r="D39">
        <v>88</v>
      </c>
      <c r="E39">
        <v>56</v>
      </c>
      <c r="F39">
        <v>67</v>
      </c>
      <c r="G39">
        <f t="shared" si="0"/>
        <v>333</v>
      </c>
    </row>
    <row r="40" spans="1:7" x14ac:dyDescent="0.3">
      <c r="A40" s="2" t="s">
        <v>1</v>
      </c>
      <c r="B40">
        <v>55</v>
      </c>
      <c r="C40">
        <v>77</v>
      </c>
      <c r="D40">
        <v>99</v>
      </c>
      <c r="E40">
        <v>78</v>
      </c>
      <c r="F40">
        <v>87</v>
      </c>
      <c r="G40">
        <f t="shared" si="0"/>
        <v>396</v>
      </c>
    </row>
    <row r="41" spans="1:7" x14ac:dyDescent="0.3">
      <c r="A41" s="2" t="s">
        <v>6</v>
      </c>
      <c r="B41">
        <v>55</v>
      </c>
      <c r="C41">
        <v>33</v>
      </c>
      <c r="D41">
        <v>99</v>
      </c>
      <c r="E41">
        <v>65</v>
      </c>
      <c r="F41">
        <v>65</v>
      </c>
      <c r="G41">
        <f t="shared" si="0"/>
        <v>317</v>
      </c>
    </row>
    <row r="42" spans="1:7" x14ac:dyDescent="0.3">
      <c r="A42" s="2" t="s">
        <v>7</v>
      </c>
      <c r="B42">
        <v>43</v>
      </c>
      <c r="C42">
        <v>44</v>
      </c>
      <c r="D42">
        <v>77</v>
      </c>
      <c r="E42">
        <v>45</v>
      </c>
      <c r="F42">
        <v>65</v>
      </c>
      <c r="G42">
        <f t="shared" si="0"/>
        <v>274</v>
      </c>
    </row>
    <row r="43" spans="1:7" x14ac:dyDescent="0.3">
      <c r="A43" s="2" t="s">
        <v>37</v>
      </c>
      <c r="B43">
        <v>45</v>
      </c>
      <c r="C43">
        <v>55</v>
      </c>
      <c r="D43">
        <v>66</v>
      </c>
      <c r="E43">
        <v>67</v>
      </c>
      <c r="F43">
        <v>65</v>
      </c>
      <c r="G43">
        <f t="shared" si="0"/>
        <v>298</v>
      </c>
    </row>
    <row r="44" spans="1:7" x14ac:dyDescent="0.3">
      <c r="A44" s="2" t="s">
        <v>38</v>
      </c>
      <c r="B44">
        <v>64</v>
      </c>
      <c r="C44">
        <v>66</v>
      </c>
      <c r="D44">
        <v>77</v>
      </c>
      <c r="E44">
        <v>65</v>
      </c>
      <c r="F44">
        <v>78</v>
      </c>
      <c r="G44">
        <f t="shared" si="0"/>
        <v>350</v>
      </c>
    </row>
    <row r="45" spans="1:7" x14ac:dyDescent="0.3">
      <c r="A45" s="2" t="s">
        <v>5</v>
      </c>
      <c r="B45">
        <v>72</v>
      </c>
      <c r="C45">
        <v>77</v>
      </c>
      <c r="D45">
        <v>88</v>
      </c>
      <c r="E45">
        <v>78</v>
      </c>
      <c r="F45">
        <v>76</v>
      </c>
      <c r="G45">
        <f t="shared" si="0"/>
        <v>391</v>
      </c>
    </row>
    <row r="46" spans="1:7" x14ac:dyDescent="0.3">
      <c r="A46" s="2" t="s">
        <v>39</v>
      </c>
      <c r="B46">
        <v>73</v>
      </c>
      <c r="C46">
        <v>88</v>
      </c>
      <c r="D46">
        <v>66</v>
      </c>
      <c r="E46">
        <v>67</v>
      </c>
      <c r="F46">
        <v>54</v>
      </c>
      <c r="G46">
        <f t="shared" si="0"/>
        <v>348</v>
      </c>
    </row>
    <row r="47" spans="1:7" x14ac:dyDescent="0.3">
      <c r="A47" s="2" t="s">
        <v>13</v>
      </c>
      <c r="B47">
        <v>82</v>
      </c>
      <c r="C47">
        <v>90</v>
      </c>
      <c r="D47">
        <v>77</v>
      </c>
      <c r="E47">
        <v>87</v>
      </c>
      <c r="F47">
        <v>56</v>
      </c>
      <c r="G47">
        <f t="shared" si="0"/>
        <v>392</v>
      </c>
    </row>
    <row r="48" spans="1:7" x14ac:dyDescent="0.3">
      <c r="A48" s="2" t="s">
        <v>40</v>
      </c>
      <c r="B48">
        <v>90</v>
      </c>
      <c r="C48">
        <v>55</v>
      </c>
      <c r="D48">
        <v>88</v>
      </c>
      <c r="E48">
        <v>98</v>
      </c>
      <c r="F48">
        <v>65</v>
      </c>
      <c r="G48">
        <f t="shared" si="0"/>
        <v>396</v>
      </c>
    </row>
    <row r="49" spans="1:9" x14ac:dyDescent="0.3">
      <c r="A49" s="2" t="s">
        <v>41</v>
      </c>
      <c r="B49">
        <v>67</v>
      </c>
      <c r="C49">
        <v>66</v>
      </c>
      <c r="D49">
        <v>80</v>
      </c>
      <c r="E49">
        <v>76</v>
      </c>
      <c r="F49">
        <v>43</v>
      </c>
      <c r="G49">
        <f t="shared" si="0"/>
        <v>332</v>
      </c>
    </row>
    <row r="50" spans="1:9" x14ac:dyDescent="0.3">
      <c r="A50" s="2" t="s">
        <v>42</v>
      </c>
      <c r="B50">
        <v>89</v>
      </c>
      <c r="C50">
        <v>77</v>
      </c>
      <c r="D50">
        <v>86</v>
      </c>
      <c r="E50">
        <v>54</v>
      </c>
      <c r="F50">
        <v>56</v>
      </c>
      <c r="G50">
        <f t="shared" si="0"/>
        <v>362</v>
      </c>
    </row>
    <row r="51" spans="1:9" x14ac:dyDescent="0.3">
      <c r="A51" s="2" t="s">
        <v>3</v>
      </c>
      <c r="B51">
        <v>88</v>
      </c>
      <c r="C51">
        <v>88</v>
      </c>
      <c r="D51">
        <v>88</v>
      </c>
      <c r="E51">
        <v>65</v>
      </c>
      <c r="F51">
        <v>78</v>
      </c>
      <c r="G51">
        <f t="shared" si="0"/>
        <v>407</v>
      </c>
    </row>
    <row r="52" spans="1:9" x14ac:dyDescent="0.3">
      <c r="A52" s="2" t="s">
        <v>51</v>
      </c>
      <c r="B52">
        <f xml:space="preserve"> AVERAGE(B2:B51)</f>
        <v>70.319999999999993</v>
      </c>
      <c r="C52">
        <f t="shared" ref="C52:F52" si="1" xml:space="preserve"> AVERAGE(C2:C51)</f>
        <v>64.12</v>
      </c>
      <c r="D52">
        <f t="shared" si="1"/>
        <v>70.52</v>
      </c>
      <c r="E52">
        <f t="shared" si="1"/>
        <v>65.42</v>
      </c>
      <c r="F52">
        <f t="shared" si="1"/>
        <v>65.3</v>
      </c>
    </row>
    <row r="53" spans="1:9" x14ac:dyDescent="0.3">
      <c r="A53" s="2" t="s">
        <v>52</v>
      </c>
      <c r="B53">
        <f xml:space="preserve"> MAX(B2:B51)</f>
        <v>98</v>
      </c>
      <c r="C53">
        <f t="shared" ref="C53:F53" si="2" xml:space="preserve"> MAX(C2:C51)</f>
        <v>99</v>
      </c>
      <c r="D53">
        <f t="shared" si="2"/>
        <v>99</v>
      </c>
      <c r="E53">
        <f t="shared" si="2"/>
        <v>99</v>
      </c>
      <c r="F53">
        <f t="shared" si="2"/>
        <v>98</v>
      </c>
    </row>
    <row r="54" spans="1:9" x14ac:dyDescent="0.3">
      <c r="A54" s="2" t="s">
        <v>53</v>
      </c>
      <c r="B54">
        <f xml:space="preserve"> MIN(B2:B51)</f>
        <v>23</v>
      </c>
      <c r="C54">
        <f t="shared" ref="C54:F54" si="3" xml:space="preserve"> MIN(C2:C51)</f>
        <v>33</v>
      </c>
      <c r="D54">
        <f t="shared" si="3"/>
        <v>22</v>
      </c>
      <c r="E54">
        <f t="shared" si="3"/>
        <v>33</v>
      </c>
      <c r="F54">
        <f t="shared" si="3"/>
        <v>34</v>
      </c>
    </row>
    <row r="55" spans="1:9" x14ac:dyDescent="0.3">
      <c r="A55" s="2" t="s">
        <v>49</v>
      </c>
      <c r="B55">
        <f xml:space="preserve"> COUNT(B2:B51)</f>
        <v>50</v>
      </c>
      <c r="C55">
        <f t="shared" ref="C55:F55" si="4" xml:space="preserve"> COUNT(C2:C51)</f>
        <v>50</v>
      </c>
      <c r="D55">
        <f t="shared" si="4"/>
        <v>50</v>
      </c>
      <c r="E55">
        <f t="shared" si="4"/>
        <v>50</v>
      </c>
      <c r="F55">
        <f t="shared" si="4"/>
        <v>50</v>
      </c>
    </row>
    <row r="56" spans="1:9" x14ac:dyDescent="0.3">
      <c r="A56" s="2" t="s">
        <v>54</v>
      </c>
      <c r="B56">
        <f xml:space="preserve"> MEDIAN(B2:B51)</f>
        <v>72.5</v>
      </c>
      <c r="C56">
        <f t="shared" ref="C56:F56" si="5" xml:space="preserve"> MEDIAN(C2:C51)</f>
        <v>64.5</v>
      </c>
      <c r="D56">
        <f t="shared" si="5"/>
        <v>76</v>
      </c>
      <c r="E56">
        <f t="shared" si="5"/>
        <v>66</v>
      </c>
      <c r="F56">
        <f t="shared" si="5"/>
        <v>65</v>
      </c>
    </row>
    <row r="57" spans="1:9" x14ac:dyDescent="0.3">
      <c r="A57" s="2"/>
      <c r="G57" s="3"/>
      <c r="H57" s="4"/>
      <c r="I57" s="5"/>
    </row>
    <row r="58" spans="1:9" x14ac:dyDescent="0.3">
      <c r="G58" s="6"/>
      <c r="H58" s="7"/>
      <c r="I58" s="8"/>
    </row>
    <row r="59" spans="1:9" x14ac:dyDescent="0.3">
      <c r="G59" s="6"/>
      <c r="H59" s="7"/>
      <c r="I59" s="8"/>
    </row>
    <row r="60" spans="1:9" x14ac:dyDescent="0.3">
      <c r="G60" s="6"/>
      <c r="H60" s="7"/>
      <c r="I60" s="8"/>
    </row>
    <row r="61" spans="1:9" x14ac:dyDescent="0.3">
      <c r="G61" s="6"/>
      <c r="H61" s="7"/>
      <c r="I61" s="8"/>
    </row>
    <row r="62" spans="1:9" x14ac:dyDescent="0.3">
      <c r="G62" s="6"/>
      <c r="H62" s="7"/>
      <c r="I62" s="8"/>
    </row>
    <row r="63" spans="1:9" x14ac:dyDescent="0.3">
      <c r="G63" s="6"/>
      <c r="H63" s="7"/>
      <c r="I63" s="8"/>
    </row>
    <row r="64" spans="1:9" x14ac:dyDescent="0.3">
      <c r="G64" s="6"/>
      <c r="H64" s="7"/>
      <c r="I64" s="8"/>
    </row>
    <row r="65" spans="7:9" x14ac:dyDescent="0.3">
      <c r="G65" s="6"/>
      <c r="H65" s="7"/>
      <c r="I65" s="8"/>
    </row>
    <row r="66" spans="7:9" x14ac:dyDescent="0.3">
      <c r="G66" s="6"/>
      <c r="H66" s="7"/>
      <c r="I66" s="8"/>
    </row>
    <row r="67" spans="7:9" x14ac:dyDescent="0.3">
      <c r="G67" s="6"/>
      <c r="H67" s="7"/>
      <c r="I67" s="8"/>
    </row>
    <row r="68" spans="7:9" x14ac:dyDescent="0.3">
      <c r="G68" s="6"/>
      <c r="H68" s="7"/>
      <c r="I68" s="8"/>
    </row>
    <row r="69" spans="7:9" x14ac:dyDescent="0.3">
      <c r="G69" s="6"/>
      <c r="H69" s="7"/>
      <c r="I69" s="8"/>
    </row>
    <row r="70" spans="7:9" x14ac:dyDescent="0.3">
      <c r="G70" s="6"/>
      <c r="H70" s="7"/>
      <c r="I70" s="8"/>
    </row>
    <row r="71" spans="7:9" x14ac:dyDescent="0.3">
      <c r="G71" s="6"/>
      <c r="H71" s="7"/>
      <c r="I71" s="8"/>
    </row>
    <row r="72" spans="7:9" x14ac:dyDescent="0.3">
      <c r="G72" s="6"/>
      <c r="H72" s="7"/>
      <c r="I72" s="8"/>
    </row>
    <row r="73" spans="7:9" x14ac:dyDescent="0.3">
      <c r="G73" s="6"/>
      <c r="H73" s="7"/>
      <c r="I73" s="8"/>
    </row>
    <row r="74" spans="7:9" x14ac:dyDescent="0.3">
      <c r="G74" s="9"/>
      <c r="H74" s="10"/>
      <c r="I74" s="11"/>
    </row>
  </sheetData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DE7E-1E29-4EE7-A2E9-3927B8024EF3}">
  <dimension ref="A1"/>
  <sheetViews>
    <sheetView topLeftCell="A10" workbookViewId="0">
      <selection activeCell="D37" sqref="D3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Sheet7</vt:lpstr>
      <vt:lpstr>Sheet5</vt:lpstr>
      <vt:lpstr>Sheet1</vt:lpstr>
      <vt:lpstr>student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Hi!</dc:creator>
  <cp:lastModifiedBy>Brenda Kimuge</cp:lastModifiedBy>
  <dcterms:created xsi:type="dcterms:W3CDTF">2015-06-05T18:17:20Z</dcterms:created>
  <dcterms:modified xsi:type="dcterms:W3CDTF">2026-10-22T02:51:39Z</dcterms:modified>
</cp:coreProperties>
</file>